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coscscarreira/My Papers/UZModelUncertainty/UZClass/"/>
    </mc:Choice>
  </mc:AlternateContent>
  <xr:revisionPtr revIDLastSave="0" documentId="13_ncr:1_{B1409E79-03CF-E448-97AD-FCEA4716CF22}" xr6:coauthVersionLast="45" xr6:coauthVersionMax="45" xr10:uidLastSave="{00000000-0000-0000-0000-000000000000}"/>
  <bookViews>
    <workbookView xWindow="-29380" yWindow="460" windowWidth="26440" windowHeight="31920" activeTab="1" xr2:uid="{4FD1F5F7-7938-2F46-84BB-B96EA2FA67D0}"/>
  </bookViews>
  <sheets>
    <sheet name="Simul" sheetId="9" r:id="rId1"/>
    <sheet name="Simul_CME" sheetId="12" r:id="rId2"/>
    <sheet name="Simul_DOL" sheetId="10" r:id="rId3"/>
    <sheet name="Simul_WDO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Y75" i="12" l="1"/>
  <c r="V75" i="12" s="1"/>
  <c r="Y74" i="12"/>
  <c r="Y73" i="12"/>
  <c r="Y72" i="12"/>
  <c r="V72" i="12" s="1"/>
  <c r="Y71" i="12"/>
  <c r="Y70" i="12"/>
  <c r="Y69" i="12"/>
  <c r="V69" i="12" s="1"/>
  <c r="Y68" i="12"/>
  <c r="V68" i="12" s="1"/>
  <c r="Y67" i="12"/>
  <c r="V67" i="12"/>
  <c r="Y66" i="12"/>
  <c r="Y65" i="12"/>
  <c r="V65" i="12" s="1"/>
  <c r="Y64" i="12"/>
  <c r="V64" i="12" s="1"/>
  <c r="Y63" i="12"/>
  <c r="V63" i="12" s="1"/>
  <c r="Y62" i="12"/>
  <c r="V62" i="12" s="1"/>
  <c r="Z54" i="12"/>
  <c r="Z50" i="12"/>
  <c r="Z48" i="12"/>
  <c r="Z45" i="12"/>
  <c r="Y22" i="12"/>
  <c r="Z44" i="12" s="1"/>
  <c r="V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V66" i="12" l="1"/>
  <c r="Y77" i="12"/>
  <c r="V77" i="12" s="1"/>
  <c r="V70" i="12"/>
  <c r="V71" i="12"/>
  <c r="V73" i="12"/>
  <c r="V74" i="12"/>
  <c r="V22" i="12"/>
  <c r="Y75" i="11"/>
  <c r="Y74" i="11"/>
  <c r="V74" i="11"/>
  <c r="Y73" i="11"/>
  <c r="V73" i="11" s="1"/>
  <c r="Y72" i="11"/>
  <c r="V72" i="11"/>
  <c r="Y71" i="11"/>
  <c r="V71" i="11"/>
  <c r="Y70" i="11"/>
  <c r="V70" i="11"/>
  <c r="Y69" i="11"/>
  <c r="V69" i="11"/>
  <c r="Y68" i="11"/>
  <c r="V68" i="11" s="1"/>
  <c r="Y67" i="11"/>
  <c r="Y66" i="11"/>
  <c r="Y65" i="11"/>
  <c r="V65" i="11"/>
  <c r="Y64" i="11"/>
  <c r="V64" i="11"/>
  <c r="Y63" i="11"/>
  <c r="V63" i="11" s="1"/>
  <c r="Y62" i="11"/>
  <c r="Y77" i="11" s="1"/>
  <c r="V77" i="11" s="1"/>
  <c r="V62" i="11"/>
  <c r="Z54" i="11"/>
  <c r="Z50" i="11"/>
  <c r="Z48" i="11"/>
  <c r="Z45" i="11"/>
  <c r="Y22" i="11"/>
  <c r="Z44" i="11" s="1"/>
  <c r="V3" i="11"/>
  <c r="V66" i="11" s="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Y75" i="10"/>
  <c r="Y74" i="10"/>
  <c r="V74" i="10" s="1"/>
  <c r="Y73" i="10"/>
  <c r="V73" i="10"/>
  <c r="Y72" i="10"/>
  <c r="V72" i="10"/>
  <c r="Y71" i="10"/>
  <c r="V71" i="10"/>
  <c r="Y70" i="10"/>
  <c r="V70" i="10"/>
  <c r="Y69" i="10"/>
  <c r="V69" i="10" s="1"/>
  <c r="Y68" i="10"/>
  <c r="V68" i="10" s="1"/>
  <c r="Y67" i="10"/>
  <c r="Y66" i="10"/>
  <c r="Y65" i="10"/>
  <c r="V65" i="10"/>
  <c r="Y64" i="10"/>
  <c r="V64" i="10"/>
  <c r="Y63" i="10"/>
  <c r="V63" i="10" s="1"/>
  <c r="Y62" i="10"/>
  <c r="Z54" i="10"/>
  <c r="Z50" i="10"/>
  <c r="Z48" i="10"/>
  <c r="Z45" i="10"/>
  <c r="Y22" i="10"/>
  <c r="Z44" i="10" s="1"/>
  <c r="V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V75" i="9"/>
  <c r="V73" i="9"/>
  <c r="V72" i="9"/>
  <c r="V71" i="9"/>
  <c r="V66" i="9"/>
  <c r="V64" i="9"/>
  <c r="Y75" i="9"/>
  <c r="Y74" i="9"/>
  <c r="V74" i="9" s="1"/>
  <c r="Y73" i="9"/>
  <c r="Y72" i="9"/>
  <c r="Y71" i="9"/>
  <c r="Y70" i="9"/>
  <c r="V70" i="9" s="1"/>
  <c r="Y69" i="9"/>
  <c r="V69" i="9" s="1"/>
  <c r="Y68" i="9"/>
  <c r="V68" i="9" s="1"/>
  <c r="Y67" i="9"/>
  <c r="V67" i="9" s="1"/>
  <c r="Y66" i="9"/>
  <c r="Y65" i="9"/>
  <c r="V65" i="9" s="1"/>
  <c r="Y64" i="9"/>
  <c r="Y63" i="9"/>
  <c r="V63" i="9" s="1"/>
  <c r="Y62" i="9"/>
  <c r="V62" i="9" s="1"/>
  <c r="Z54" i="9"/>
  <c r="Z50" i="9"/>
  <c r="Z48" i="9"/>
  <c r="Z45" i="9"/>
  <c r="Y22" i="9"/>
  <c r="Z44" i="9" s="1"/>
  <c r="S3" i="9"/>
  <c r="R3" i="9"/>
  <c r="M3" i="9"/>
  <c r="V3" i="9"/>
  <c r="Q3" i="9"/>
  <c r="P3" i="9"/>
  <c r="O3" i="9"/>
  <c r="N3" i="9"/>
  <c r="L3" i="9"/>
  <c r="K3" i="9"/>
  <c r="J3" i="9"/>
  <c r="I3" i="9"/>
  <c r="H3" i="9"/>
  <c r="G3" i="9"/>
  <c r="F3" i="9"/>
  <c r="V66" i="10" l="1"/>
  <c r="Y77" i="10"/>
  <c r="V77" i="10" s="1"/>
  <c r="V22" i="11"/>
  <c r="V67" i="11"/>
  <c r="V75" i="11"/>
  <c r="Y77" i="9"/>
  <c r="V77" i="9" s="1"/>
  <c r="V67" i="10"/>
  <c r="V75" i="10"/>
  <c r="V22" i="10"/>
  <c r="V62" i="10"/>
  <c r="V22" i="9"/>
</calcChain>
</file>

<file path=xl/sharedStrings.xml><?xml version="1.0" encoding="utf-8"?>
<sst xmlns="http://schemas.openxmlformats.org/spreadsheetml/2006/main" count="1768" uniqueCount="41">
  <si>
    <t>L_B</t>
  </si>
  <si>
    <t>C_A</t>
  </si>
  <si>
    <t>M_A</t>
  </si>
  <si>
    <t>I_B</t>
  </si>
  <si>
    <t>DmI_A</t>
  </si>
  <si>
    <t>Dm_A</t>
  </si>
  <si>
    <t>Dc_A</t>
  </si>
  <si>
    <t>L_A</t>
  </si>
  <si>
    <t>C_B</t>
  </si>
  <si>
    <t>M_B</t>
  </si>
  <si>
    <t>I_A</t>
  </si>
  <si>
    <t>DmI_B</t>
  </si>
  <si>
    <t>Dm_B</t>
  </si>
  <si>
    <t>Dc_B</t>
  </si>
  <si>
    <t>Baseline</t>
  </si>
  <si>
    <t>Decay</t>
  </si>
  <si>
    <t>Index</t>
  </si>
  <si>
    <t>Runtime</t>
  </si>
  <si>
    <t>Mean Intensity</t>
  </si>
  <si>
    <t>Count</t>
  </si>
  <si>
    <t>Total</t>
  </si>
  <si>
    <t>Event</t>
  </si>
  <si>
    <t>Mean spread</t>
  </si>
  <si>
    <t>Insert fails</t>
  </si>
  <si>
    <t>Total trades</t>
  </si>
  <si>
    <t>Insert fails %</t>
  </si>
  <si>
    <t>Seed</t>
  </si>
  <si>
    <t>eta</t>
  </si>
  <si>
    <t>Sum of abs price changes</t>
  </si>
  <si>
    <t>Mean of price changes</t>
  </si>
  <si>
    <t>Nr of price changes</t>
  </si>
  <si>
    <t>Mean of abs price changes</t>
  </si>
  <si>
    <t>Price move</t>
  </si>
  <si>
    <t>Simulated Counts</t>
  </si>
  <si>
    <t>Real Counts</t>
  </si>
  <si>
    <t>Simulated Durations</t>
  </si>
  <si>
    <t>Real Durations</t>
  </si>
  <si>
    <t>Total events</t>
  </si>
  <si>
    <t>Real Imbalance</t>
  </si>
  <si>
    <t>Calibrated Adjacency</t>
  </si>
  <si>
    <t>Kernel Norms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</si>
</sst>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0;\-#,##0.000;&quot;-&quot;\ "/>
    <numFmt numFmtId="165" formatCode="#,##0.0;\-#,##0.0;&quot;-&quot;\ "/>
    <numFmt numFmtId="166" formatCode="#,##0;\-#,##0;&quot;-&quot;\ "/>
    <numFmt numFmtId="167" formatCode="0.000"/>
    <numFmt numFmtId="168" formatCode="0.0000"/>
    <numFmt numFmtId="169" formatCode="#,##0.00;\-#,##0.00;&quot;-&quot;\ "/>
    <numFmt numFmtId="170" formatCode="#,##0.0000;\-#,##0.0000;&quot;-&quot;\ "/>
  </numFmts>
  <fonts count="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2"/>
      <color rgb="FF00206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44C5F4"/>
        <bgColor rgb="FF000000"/>
      </patternFill>
    </fill>
    <fill>
      <patternFill patternType="solid">
        <fgColor rgb="FFBFECFC"/>
        <bgColor rgb="FF000000"/>
      </patternFill>
    </fill>
    <fill>
      <patternFill patternType="solid">
        <fgColor rgb="FFF7FDFF"/>
        <bgColor rgb="FF000000"/>
      </patternFill>
    </fill>
    <fill>
      <patternFill patternType="solid">
        <fgColor rgb="FFFAFEFF"/>
        <bgColor rgb="FF000000"/>
      </patternFill>
    </fill>
    <fill>
      <patternFill patternType="solid">
        <fgColor rgb="FFFF2E2E"/>
        <bgColor rgb="FF000000"/>
      </patternFill>
    </fill>
    <fill>
      <patternFill patternType="solid">
        <fgColor rgb="FFFEFF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AF9FE"/>
        <bgColor rgb="FF000000"/>
      </patternFill>
    </fill>
    <fill>
      <patternFill patternType="solid">
        <fgColor rgb="FFCEF0FD"/>
        <bgColor rgb="FF000000"/>
      </patternFill>
    </fill>
    <fill>
      <patternFill patternType="solid">
        <fgColor rgb="FFFBFEFF"/>
        <bgColor rgb="FF000000"/>
      </patternFill>
    </fill>
    <fill>
      <patternFill patternType="solid">
        <fgColor rgb="FFFF2A2A"/>
        <bgColor rgb="FF000000"/>
      </patternFill>
    </fill>
    <fill>
      <patternFill patternType="solid">
        <fgColor rgb="FFC5EDFC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DFFFF"/>
        <bgColor rgb="FF000000"/>
      </patternFill>
    </fill>
    <fill>
      <patternFill patternType="solid">
        <fgColor rgb="FFBCEBFC"/>
        <bgColor rgb="FF000000"/>
      </patternFill>
    </fill>
    <fill>
      <patternFill patternType="solid">
        <fgColor rgb="FFE7F8FE"/>
        <bgColor rgb="FF000000"/>
      </patternFill>
    </fill>
    <fill>
      <patternFill patternType="solid">
        <fgColor rgb="FFF9FEFF"/>
        <bgColor rgb="FF000000"/>
      </patternFill>
    </fill>
    <fill>
      <patternFill patternType="solid">
        <fgColor rgb="FFFCFEFF"/>
        <bgColor rgb="FF000000"/>
      </patternFill>
    </fill>
    <fill>
      <patternFill patternType="solid">
        <fgColor rgb="FFFF2C2C"/>
        <bgColor rgb="FF000000"/>
      </patternFill>
    </fill>
    <fill>
      <patternFill patternType="solid">
        <fgColor rgb="FFFF0808"/>
        <bgColor rgb="FF000000"/>
      </patternFill>
    </fill>
    <fill>
      <patternFill patternType="solid">
        <fgColor rgb="FFFF0F0F"/>
        <bgColor rgb="FF000000"/>
      </patternFill>
    </fill>
    <fill>
      <patternFill patternType="solid">
        <fgColor rgb="FFFF0707"/>
        <bgColor rgb="FF000000"/>
      </patternFill>
    </fill>
    <fill>
      <patternFill patternType="solid">
        <fgColor rgb="FFFF7070"/>
        <bgColor rgb="FF000000"/>
      </patternFill>
    </fill>
    <fill>
      <patternFill patternType="solid">
        <fgColor rgb="FFFF1212"/>
        <bgColor rgb="FF000000"/>
      </patternFill>
    </fill>
    <fill>
      <patternFill patternType="solid">
        <fgColor rgb="FFFF7A7A"/>
        <bgColor rgb="FF000000"/>
      </patternFill>
    </fill>
    <fill>
      <patternFill patternType="solid">
        <fgColor rgb="FFFF0909"/>
        <bgColor rgb="FF000000"/>
      </patternFill>
    </fill>
    <fill>
      <patternFill patternType="solid">
        <fgColor rgb="FFFF0E0E"/>
        <bgColor rgb="FF000000"/>
      </patternFill>
    </fill>
    <fill>
      <patternFill patternType="solid">
        <fgColor rgb="FFFFBAB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3838"/>
        <bgColor rgb="FF000000"/>
      </patternFill>
    </fill>
    <fill>
      <patternFill patternType="solid">
        <fgColor rgb="FFFF0202"/>
        <bgColor rgb="FF000000"/>
      </patternFill>
    </fill>
    <fill>
      <patternFill patternType="solid">
        <fgColor rgb="FFFFEEEE"/>
        <bgColor rgb="FF000000"/>
      </patternFill>
    </fill>
    <fill>
      <patternFill patternType="solid">
        <fgColor rgb="FFFFB0B0"/>
        <bgColor rgb="FF000000"/>
      </patternFill>
    </fill>
    <fill>
      <patternFill patternType="solid">
        <fgColor rgb="FFFFA0A0"/>
        <bgColor rgb="FF000000"/>
      </patternFill>
    </fill>
    <fill>
      <patternFill patternType="solid">
        <fgColor rgb="FFFF3D3D"/>
        <bgColor rgb="FF000000"/>
      </patternFill>
    </fill>
    <fill>
      <patternFill patternType="solid">
        <fgColor rgb="FFFF9B9B"/>
        <bgColor rgb="FF000000"/>
      </patternFill>
    </fill>
    <fill>
      <patternFill patternType="solid">
        <fgColor rgb="FFFFB2B2"/>
        <bgColor rgb="FF000000"/>
      </patternFill>
    </fill>
    <fill>
      <patternFill patternType="solid">
        <fgColor rgb="FFFFDDDD"/>
        <bgColor rgb="FF000000"/>
      </patternFill>
    </fill>
    <fill>
      <patternFill patternType="solid">
        <fgColor rgb="FFFF7373"/>
        <bgColor rgb="FF000000"/>
      </patternFill>
    </fill>
    <fill>
      <patternFill patternType="solid">
        <fgColor rgb="FFFF0D0D"/>
        <bgColor rgb="FF000000"/>
      </patternFill>
    </fill>
    <fill>
      <patternFill patternType="solid">
        <fgColor rgb="FFFF8787"/>
        <bgColor rgb="FF000000"/>
      </patternFill>
    </fill>
    <fill>
      <patternFill patternType="solid">
        <fgColor rgb="FFFFF2F2"/>
        <bgColor rgb="FF000000"/>
      </patternFill>
    </fill>
    <fill>
      <patternFill patternType="solid">
        <fgColor rgb="FFFF5F5F"/>
        <bgColor rgb="FF000000"/>
      </patternFill>
    </fill>
    <fill>
      <patternFill patternType="solid">
        <fgColor rgb="FFFCFFFF"/>
        <bgColor rgb="FF000000"/>
      </patternFill>
    </fill>
    <fill>
      <patternFill patternType="solid">
        <fgColor rgb="FFFF1111"/>
        <bgColor rgb="FF000000"/>
      </patternFill>
    </fill>
    <fill>
      <patternFill patternType="solid">
        <fgColor rgb="FFC4EDFC"/>
        <bgColor rgb="FF000000"/>
      </patternFill>
    </fill>
    <fill>
      <patternFill patternType="solid">
        <fgColor rgb="FFFF3737"/>
        <bgColor rgb="FF000000"/>
      </patternFill>
    </fill>
    <fill>
      <patternFill patternType="solid">
        <fgColor rgb="FF23BBF3"/>
        <bgColor rgb="FF000000"/>
      </patternFill>
    </fill>
    <fill>
      <patternFill patternType="solid">
        <fgColor rgb="FFF8FDFF"/>
        <bgColor rgb="FF000000"/>
      </patternFill>
    </fill>
    <fill>
      <patternFill patternType="solid">
        <fgColor rgb="FFFF3F3F"/>
        <bgColor rgb="FF000000"/>
      </patternFill>
    </fill>
    <fill>
      <patternFill patternType="solid">
        <fgColor rgb="FFC7EEFC"/>
        <bgColor rgb="FF000000"/>
      </patternFill>
    </fill>
    <fill>
      <patternFill patternType="solid">
        <fgColor rgb="FFE8F8FE"/>
        <bgColor rgb="FF000000"/>
      </patternFill>
    </fill>
    <fill>
      <patternFill patternType="solid">
        <fgColor rgb="FFC2ECFC"/>
        <bgColor rgb="FF000000"/>
      </patternFill>
    </fill>
    <fill>
      <patternFill patternType="solid">
        <fgColor rgb="FFFF4C4C"/>
        <bgColor rgb="FF000000"/>
      </patternFill>
    </fill>
    <fill>
      <patternFill patternType="solid">
        <fgColor rgb="FFFF1F1F"/>
        <bgColor rgb="FF000000"/>
      </patternFill>
    </fill>
    <fill>
      <patternFill patternType="solid">
        <fgColor rgb="FFFF7777"/>
        <bgColor rgb="FF000000"/>
      </patternFill>
    </fill>
    <fill>
      <patternFill patternType="solid">
        <fgColor rgb="FFFF3333"/>
        <bgColor rgb="FF000000"/>
      </patternFill>
    </fill>
    <fill>
      <patternFill patternType="solid">
        <fgColor rgb="FFFF0A0A"/>
        <bgColor rgb="FF000000"/>
      </patternFill>
    </fill>
    <fill>
      <patternFill patternType="solid">
        <fgColor rgb="FFFF2020"/>
        <bgColor rgb="FF000000"/>
      </patternFill>
    </fill>
    <fill>
      <patternFill patternType="solid">
        <fgColor rgb="FFFF0505"/>
        <bgColor rgb="FF000000"/>
      </patternFill>
    </fill>
    <fill>
      <patternFill patternType="solid">
        <fgColor rgb="FFFF0404"/>
        <bgColor rgb="FF000000"/>
      </patternFill>
    </fill>
    <fill>
      <patternFill patternType="solid">
        <fgColor rgb="FFFF1515"/>
        <bgColor rgb="FF000000"/>
      </patternFill>
    </fill>
    <fill>
      <patternFill patternType="solid">
        <fgColor rgb="FFFFFDFD"/>
        <bgColor rgb="FF000000"/>
      </patternFill>
    </fill>
    <fill>
      <patternFill patternType="solid">
        <fgColor rgb="FFFFE9E9"/>
        <bgColor rgb="FF000000"/>
      </patternFill>
    </fill>
    <fill>
      <patternFill patternType="solid">
        <fgColor rgb="FFFF9292"/>
        <bgColor rgb="FF000000"/>
      </patternFill>
    </fill>
    <fill>
      <patternFill patternType="solid">
        <fgColor rgb="FFFF3E3E"/>
        <bgColor rgb="FF000000"/>
      </patternFill>
    </fill>
    <fill>
      <patternFill patternType="solid">
        <fgColor rgb="FFFF8383"/>
        <bgColor rgb="FF000000"/>
      </patternFill>
    </fill>
    <fill>
      <patternFill patternType="solid">
        <fgColor rgb="FFFFCACA"/>
        <bgColor rgb="FF000000"/>
      </patternFill>
    </fill>
    <fill>
      <patternFill patternType="solid">
        <fgColor rgb="FFFFA8A8"/>
        <bgColor rgb="FF000000"/>
      </patternFill>
    </fill>
    <fill>
      <patternFill patternType="solid">
        <fgColor rgb="FFFFA3A3"/>
        <bgColor rgb="FF000000"/>
      </patternFill>
    </fill>
    <fill>
      <patternFill patternType="solid">
        <fgColor rgb="FFFF2B2B"/>
        <bgColor rgb="FF000000"/>
      </patternFill>
    </fill>
    <fill>
      <patternFill patternType="solid">
        <fgColor rgb="FFFF0101"/>
        <bgColor rgb="FF000000"/>
      </patternFill>
    </fill>
    <fill>
      <patternFill patternType="solid">
        <fgColor rgb="FFFF6262"/>
        <bgColor rgb="FF000000"/>
      </patternFill>
    </fill>
    <fill>
      <patternFill patternType="solid">
        <fgColor rgb="FFFF8F8F"/>
        <bgColor rgb="FF000000"/>
      </patternFill>
    </fill>
    <fill>
      <patternFill patternType="solid">
        <fgColor rgb="FFFFD7D7"/>
        <bgColor rgb="FF000000"/>
      </patternFill>
    </fill>
    <fill>
      <patternFill patternType="solid">
        <fgColor rgb="FFFFF5F5"/>
        <bgColor rgb="FF000000"/>
      </patternFill>
    </fill>
    <fill>
      <patternFill patternType="solid">
        <fgColor rgb="FFFF5A5A"/>
        <bgColor rgb="FF000000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0">
    <xf numFmtId="0" fontId="0" fillId="0" borderId="0" xfId="0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164" fontId="2" fillId="0" borderId="2" xfId="0" applyNumberFormat="1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164" fontId="2" fillId="0" borderId="8" xfId="0" applyNumberFormat="1" applyFont="1" applyBorder="1"/>
    <xf numFmtId="164" fontId="2" fillId="0" borderId="9" xfId="0" applyNumberFormat="1" applyFont="1" applyBorder="1"/>
    <xf numFmtId="164" fontId="2" fillId="0" borderId="10" xfId="0" applyNumberFormat="1" applyFont="1" applyBorder="1"/>
    <xf numFmtId="164" fontId="2" fillId="0" borderId="11" xfId="0" applyNumberFormat="1" applyFont="1" applyBorder="1"/>
    <xf numFmtId="164" fontId="2" fillId="0" borderId="0" xfId="0" applyNumberFormat="1" applyFont="1" applyBorder="1"/>
    <xf numFmtId="164" fontId="2" fillId="0" borderId="12" xfId="0" applyNumberFormat="1" applyFont="1" applyBorder="1"/>
    <xf numFmtId="164" fontId="2" fillId="0" borderId="13" xfId="0" applyNumberFormat="1" applyFont="1" applyBorder="1"/>
    <xf numFmtId="164" fontId="2" fillId="0" borderId="14" xfId="0" applyNumberFormat="1" applyFont="1" applyBorder="1"/>
    <xf numFmtId="164" fontId="2" fillId="0" borderId="15" xfId="0" applyNumberFormat="1" applyFont="1" applyBorder="1"/>
    <xf numFmtId="0" fontId="0" fillId="0" borderId="0" xfId="0" applyBorder="1"/>
    <xf numFmtId="164" fontId="2" fillId="0" borderId="5" xfId="0" applyNumberFormat="1" applyFont="1" applyBorder="1"/>
    <xf numFmtId="164" fontId="2" fillId="0" borderId="6" xfId="0" applyNumberFormat="1" applyFont="1" applyBorder="1"/>
    <xf numFmtId="164" fontId="2" fillId="0" borderId="7" xfId="0" applyNumberFormat="1" applyFont="1" applyBorder="1"/>
    <xf numFmtId="0" fontId="0" fillId="0" borderId="1" xfId="0" applyBorder="1" applyAlignment="1">
      <alignment horizontal="right"/>
    </xf>
    <xf numFmtId="165" fontId="0" fillId="0" borderId="1" xfId="0" applyNumberFormat="1" applyBorder="1"/>
    <xf numFmtId="164" fontId="3" fillId="0" borderId="2" xfId="0" applyNumberFormat="1" applyFont="1" applyBorder="1"/>
    <xf numFmtId="164" fontId="3" fillId="0" borderId="3" xfId="0" applyNumberFormat="1" applyFont="1" applyBorder="1"/>
    <xf numFmtId="164" fontId="3" fillId="0" borderId="4" xfId="0" applyNumberFormat="1" applyFont="1" applyBorder="1"/>
    <xf numFmtId="164" fontId="3" fillId="0" borderId="8" xfId="0" applyNumberFormat="1" applyFont="1" applyBorder="1"/>
    <xf numFmtId="164" fontId="3" fillId="0" borderId="0" xfId="0" applyNumberFormat="1" applyFont="1" applyBorder="1"/>
    <xf numFmtId="164" fontId="3" fillId="0" borderId="9" xfId="0" applyNumberFormat="1" applyFont="1" applyBorder="1"/>
    <xf numFmtId="164" fontId="3" fillId="0" borderId="11" xfId="0" applyNumberFormat="1" applyFont="1" applyBorder="1"/>
    <xf numFmtId="164" fontId="3" fillId="0" borderId="10" xfId="0" applyNumberFormat="1" applyFont="1" applyBorder="1"/>
    <xf numFmtId="164" fontId="3" fillId="0" borderId="12" xfId="0" applyNumberFormat="1" applyFont="1" applyBorder="1"/>
    <xf numFmtId="164" fontId="3" fillId="0" borderId="15" xfId="0" applyNumberFormat="1" applyFont="1" applyBorder="1"/>
    <xf numFmtId="164" fontId="3" fillId="0" borderId="14" xfId="0" applyNumberFormat="1" applyFont="1" applyBorder="1"/>
    <xf numFmtId="164" fontId="3" fillId="0" borderId="13" xfId="0" applyNumberFormat="1" applyFont="1" applyBorder="1"/>
    <xf numFmtId="165" fontId="4" fillId="0" borderId="1" xfId="0" applyNumberFormat="1" applyFont="1" applyBorder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166" fontId="2" fillId="0" borderId="2" xfId="0" applyNumberFormat="1" applyFont="1" applyBorder="1"/>
    <xf numFmtId="166" fontId="2" fillId="0" borderId="3" xfId="0" applyNumberFormat="1" applyFont="1" applyBorder="1"/>
    <xf numFmtId="166" fontId="2" fillId="0" borderId="4" xfId="0" applyNumberFormat="1" applyFont="1" applyBorder="1"/>
    <xf numFmtId="166" fontId="2" fillId="0" borderId="0" xfId="0" applyNumberFormat="1" applyFont="1"/>
    <xf numFmtId="166" fontId="2" fillId="0" borderId="1" xfId="0" applyNumberFormat="1" applyFont="1" applyBorder="1"/>
    <xf numFmtId="0" fontId="2" fillId="0" borderId="0" xfId="0" applyFont="1" applyFill="1" applyBorder="1" applyAlignment="1">
      <alignment horizontal="right"/>
    </xf>
    <xf numFmtId="0" fontId="2" fillId="0" borderId="1" xfId="0" applyFont="1" applyFill="1" applyBorder="1" applyAlignment="1">
      <alignment horizontal="right"/>
    </xf>
    <xf numFmtId="164" fontId="2" fillId="0" borderId="1" xfId="0" applyNumberFormat="1" applyFont="1" applyBorder="1"/>
    <xf numFmtId="166" fontId="3" fillId="0" borderId="8" xfId="0" applyNumberFormat="1" applyFont="1" applyBorder="1"/>
    <xf numFmtId="166" fontId="3" fillId="0" borderId="9" xfId="0" applyNumberFormat="1" applyFont="1" applyBorder="1"/>
    <xf numFmtId="166" fontId="3" fillId="0" borderId="10" xfId="0" applyNumberFormat="1" applyFont="1" applyBorder="1"/>
    <xf numFmtId="166" fontId="3" fillId="0" borderId="11" xfId="0" applyNumberFormat="1" applyFont="1" applyBorder="1"/>
    <xf numFmtId="166" fontId="3" fillId="0" borderId="0" xfId="0" applyNumberFormat="1" applyFont="1" applyBorder="1"/>
    <xf numFmtId="166" fontId="3" fillId="0" borderId="12" xfId="0" applyNumberFormat="1" applyFont="1" applyBorder="1"/>
    <xf numFmtId="166" fontId="3" fillId="0" borderId="13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8" xfId="0" applyNumberFormat="1" applyFont="1" applyBorder="1"/>
    <xf numFmtId="166" fontId="2" fillId="0" borderId="9" xfId="0" applyNumberFormat="1" applyFont="1" applyBorder="1"/>
    <xf numFmtId="166" fontId="2" fillId="0" borderId="10" xfId="0" applyNumberFormat="1" applyFont="1" applyBorder="1"/>
    <xf numFmtId="166" fontId="2" fillId="0" borderId="11" xfId="0" applyNumberFormat="1" applyFont="1" applyBorder="1"/>
    <xf numFmtId="166" fontId="2" fillId="0" borderId="0" xfId="0" applyNumberFormat="1" applyFont="1" applyBorder="1"/>
    <xf numFmtId="166" fontId="2" fillId="0" borderId="12" xfId="0" applyNumberFormat="1" applyFont="1" applyBorder="1"/>
    <xf numFmtId="166" fontId="2" fillId="0" borderId="13" xfId="0" applyNumberFormat="1" applyFont="1" applyBorder="1"/>
    <xf numFmtId="166" fontId="2" fillId="0" borderId="14" xfId="0" applyNumberFormat="1" applyFont="1" applyBorder="1"/>
    <xf numFmtId="166" fontId="2" fillId="0" borderId="15" xfId="0" applyNumberFormat="1" applyFont="1" applyBorder="1"/>
    <xf numFmtId="0" fontId="2" fillId="0" borderId="0" xfId="0" applyFont="1"/>
    <xf numFmtId="2" fontId="2" fillId="0" borderId="0" xfId="0" applyNumberFormat="1" applyFont="1"/>
    <xf numFmtId="9" fontId="2" fillId="0" borderId="0" xfId="1" applyFont="1"/>
    <xf numFmtId="166" fontId="5" fillId="0" borderId="1" xfId="0" applyNumberFormat="1" applyFont="1" applyBorder="1"/>
    <xf numFmtId="0" fontId="5" fillId="0" borderId="1" xfId="0" applyFont="1" applyBorder="1" applyAlignment="1">
      <alignment horizontal="right"/>
    </xf>
    <xf numFmtId="167" fontId="2" fillId="0" borderId="0" xfId="0" applyNumberFormat="1" applyFont="1"/>
    <xf numFmtId="168" fontId="2" fillId="0" borderId="0" xfId="0" applyNumberFormat="1" applyFont="1"/>
    <xf numFmtId="169" fontId="2" fillId="0" borderId="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69" fontId="2" fillId="0" borderId="11" xfId="0" applyNumberFormat="1" applyFont="1" applyBorder="1"/>
    <xf numFmtId="169" fontId="2" fillId="0" borderId="0" xfId="0" applyNumberFormat="1" applyFont="1" applyBorder="1"/>
    <xf numFmtId="169" fontId="2" fillId="0" borderId="12" xfId="0" applyNumberFormat="1" applyFont="1" applyBorder="1"/>
    <xf numFmtId="169" fontId="2" fillId="0" borderId="13" xfId="0" applyNumberFormat="1" applyFont="1" applyBorder="1"/>
    <xf numFmtId="169" fontId="2" fillId="0" borderId="14" xfId="0" applyNumberFormat="1" applyFont="1" applyBorder="1"/>
    <xf numFmtId="169" fontId="2" fillId="0" borderId="15" xfId="0" applyNumberFormat="1" applyFont="1" applyBorder="1"/>
    <xf numFmtId="166" fontId="6" fillId="2" borderId="8" xfId="0" applyNumberFormat="1" applyFont="1" applyFill="1" applyBorder="1"/>
    <xf numFmtId="166" fontId="6" fillId="3" borderId="9" xfId="0" applyNumberFormat="1" applyFont="1" applyFill="1" applyBorder="1"/>
    <xf numFmtId="166" fontId="6" fillId="4" borderId="9" xfId="0" applyNumberFormat="1" applyFont="1" applyFill="1" applyBorder="1"/>
    <xf numFmtId="166" fontId="6" fillId="5" borderId="9" xfId="0" applyNumberFormat="1" applyFont="1" applyFill="1" applyBorder="1"/>
    <xf numFmtId="166" fontId="6" fillId="6" borderId="9" xfId="0" applyNumberFormat="1" applyFont="1" applyFill="1" applyBorder="1"/>
    <xf numFmtId="166" fontId="6" fillId="7" borderId="9" xfId="0" applyNumberFormat="1" applyFont="1" applyFill="1" applyBorder="1"/>
    <xf numFmtId="166" fontId="6" fillId="8" borderId="10" xfId="0" applyNumberFormat="1" applyFont="1" applyFill="1" applyBorder="1"/>
    <xf numFmtId="166" fontId="6" fillId="9" borderId="8" xfId="0" applyNumberFormat="1" applyFont="1" applyFill="1" applyBorder="1"/>
    <xf numFmtId="166" fontId="6" fillId="10" borderId="9" xfId="0" applyNumberFormat="1" applyFont="1" applyFill="1" applyBorder="1"/>
    <xf numFmtId="166" fontId="6" fillId="8" borderId="9" xfId="0" applyNumberFormat="1" applyFont="1" applyFill="1" applyBorder="1"/>
    <xf numFmtId="166" fontId="6" fillId="11" borderId="9" xfId="0" applyNumberFormat="1" applyFont="1" applyFill="1" applyBorder="1"/>
    <xf numFmtId="166" fontId="6" fillId="12" borderId="9" xfId="0" applyNumberFormat="1" applyFont="1" applyFill="1" applyBorder="1"/>
    <xf numFmtId="166" fontId="6" fillId="13" borderId="11" xfId="0" applyNumberFormat="1" applyFont="1" applyFill="1" applyBorder="1"/>
    <xf numFmtId="166" fontId="6" fillId="14" borderId="0" xfId="0" applyNumberFormat="1" applyFont="1" applyFill="1"/>
    <xf numFmtId="166" fontId="6" fillId="11" borderId="0" xfId="0" applyNumberFormat="1" applyFont="1" applyFill="1"/>
    <xf numFmtId="166" fontId="6" fillId="4" borderId="0" xfId="0" applyNumberFormat="1" applyFont="1" applyFill="1"/>
    <xf numFmtId="166" fontId="6" fillId="7" borderId="0" xfId="0" applyNumberFormat="1" applyFont="1" applyFill="1"/>
    <xf numFmtId="166" fontId="6" fillId="15" borderId="0" xfId="0" applyNumberFormat="1" applyFont="1" applyFill="1"/>
    <xf numFmtId="166" fontId="6" fillId="7" borderId="12" xfId="0" applyNumberFormat="1" applyFont="1" applyFill="1" applyBorder="1"/>
    <xf numFmtId="166" fontId="6" fillId="16" borderId="11" xfId="0" applyNumberFormat="1" applyFont="1" applyFill="1" applyBorder="1"/>
    <xf numFmtId="166" fontId="6" fillId="17" borderId="0" xfId="0" applyNumberFormat="1" applyFont="1" applyFill="1"/>
    <xf numFmtId="166" fontId="6" fillId="0" borderId="0" xfId="0" applyNumberFormat="1" applyFont="1"/>
    <xf numFmtId="166" fontId="6" fillId="8" borderId="0" xfId="0" applyNumberFormat="1" applyFont="1" applyFill="1"/>
    <xf numFmtId="166" fontId="6" fillId="8" borderId="12" xfId="0" applyNumberFormat="1" applyFont="1" applyFill="1" applyBorder="1"/>
    <xf numFmtId="166" fontId="6" fillId="18" borderId="11" xfId="0" applyNumberFormat="1" applyFont="1" applyFill="1" applyBorder="1"/>
    <xf numFmtId="166" fontId="6" fillId="19" borderId="0" xfId="0" applyNumberFormat="1" applyFont="1" applyFill="1"/>
    <xf numFmtId="166" fontId="6" fillId="20" borderId="0" xfId="0" applyNumberFormat="1" applyFont="1" applyFill="1"/>
    <xf numFmtId="166" fontId="6" fillId="21" borderId="0" xfId="0" applyNumberFormat="1" applyFont="1" applyFill="1"/>
    <xf numFmtId="166" fontId="6" fillId="22" borderId="0" xfId="0" applyNumberFormat="1" applyFont="1" applyFill="1"/>
    <xf numFmtId="166" fontId="6" fillId="23" borderId="12" xfId="0" applyNumberFormat="1" applyFont="1" applyFill="1" applyBorder="1"/>
    <xf numFmtId="166" fontId="6" fillId="11" borderId="11" xfId="0" applyNumberFormat="1" applyFont="1" applyFill="1" applyBorder="1"/>
    <xf numFmtId="166" fontId="6" fillId="5" borderId="0" xfId="0" applyNumberFormat="1" applyFont="1" applyFill="1"/>
    <xf numFmtId="166" fontId="6" fillId="24" borderId="0" xfId="0" applyNumberFormat="1" applyFont="1" applyFill="1"/>
    <xf numFmtId="166" fontId="6" fillId="25" borderId="0" xfId="0" applyNumberFormat="1" applyFont="1" applyFill="1"/>
    <xf numFmtId="166" fontId="6" fillId="26" borderId="0" xfId="0" applyNumberFormat="1" applyFont="1" applyFill="1"/>
    <xf numFmtId="166" fontId="6" fillId="27" borderId="0" xfId="0" applyNumberFormat="1" applyFont="1" applyFill="1"/>
    <xf numFmtId="166" fontId="6" fillId="28" borderId="12" xfId="0" applyNumberFormat="1" applyFont="1" applyFill="1" applyBorder="1"/>
    <xf numFmtId="166" fontId="6" fillId="29" borderId="0" xfId="0" applyNumberFormat="1" applyFont="1" applyFill="1"/>
    <xf numFmtId="166" fontId="6" fillId="30" borderId="0" xfId="0" applyNumberFormat="1" applyFont="1" applyFill="1"/>
    <xf numFmtId="166" fontId="6" fillId="31" borderId="12" xfId="0" applyNumberFormat="1" applyFont="1" applyFill="1" applyBorder="1"/>
    <xf numFmtId="166" fontId="6" fillId="15" borderId="11" xfId="0" applyNumberFormat="1" applyFont="1" applyFill="1" applyBorder="1"/>
    <xf numFmtId="166" fontId="6" fillId="32" borderId="0" xfId="0" applyNumberFormat="1" applyFont="1" applyFill="1"/>
    <xf numFmtId="166" fontId="6" fillId="28" borderId="0" xfId="0" applyNumberFormat="1" applyFont="1" applyFill="1"/>
    <xf numFmtId="166" fontId="6" fillId="33" borderId="0" xfId="0" applyNumberFormat="1" applyFont="1" applyFill="1"/>
    <xf numFmtId="166" fontId="6" fillId="34" borderId="11" xfId="0" applyNumberFormat="1" applyFont="1" applyFill="1" applyBorder="1"/>
    <xf numFmtId="166" fontId="6" fillId="35" borderId="0" xfId="0" applyNumberFormat="1" applyFont="1" applyFill="1"/>
    <xf numFmtId="166" fontId="6" fillId="36" borderId="0" xfId="0" applyNumberFormat="1" applyFont="1" applyFill="1"/>
    <xf numFmtId="166" fontId="6" fillId="0" borderId="12" xfId="0" applyNumberFormat="1" applyFont="1" applyBorder="1"/>
    <xf numFmtId="166" fontId="6" fillId="37" borderId="11" xfId="0" applyNumberFormat="1" applyFont="1" applyFill="1" applyBorder="1"/>
    <xf numFmtId="166" fontId="6" fillId="38" borderId="0" xfId="0" applyNumberFormat="1" applyFont="1" applyFill="1"/>
    <xf numFmtId="166" fontId="6" fillId="39" borderId="0" xfId="0" applyNumberFormat="1" applyFont="1" applyFill="1"/>
    <xf numFmtId="166" fontId="6" fillId="23" borderId="0" xfId="0" applyNumberFormat="1" applyFont="1" applyFill="1"/>
    <xf numFmtId="166" fontId="6" fillId="40" borderId="11" xfId="0" applyNumberFormat="1" applyFont="1" applyFill="1" applyBorder="1"/>
    <xf numFmtId="166" fontId="6" fillId="41" borderId="0" xfId="0" applyNumberFormat="1" applyFont="1" applyFill="1"/>
    <xf numFmtId="166" fontId="6" fillId="42" borderId="0" xfId="0" applyNumberFormat="1" applyFont="1" applyFill="1"/>
    <xf numFmtId="166" fontId="6" fillId="7" borderId="13" xfId="0" applyNumberFormat="1" applyFont="1" applyFill="1" applyBorder="1"/>
    <xf numFmtId="166" fontId="6" fillId="43" borderId="14" xfId="0" applyNumberFormat="1" applyFont="1" applyFill="1" applyBorder="1"/>
    <xf numFmtId="166" fontId="6" fillId="44" borderId="14" xfId="0" applyNumberFormat="1" applyFont="1" applyFill="1" applyBorder="1"/>
    <xf numFmtId="166" fontId="6" fillId="0" borderId="14" xfId="0" applyNumberFormat="1" applyFont="1" applyBorder="1"/>
    <xf numFmtId="166" fontId="6" fillId="30" borderId="14" xfId="0" applyNumberFormat="1" applyFont="1" applyFill="1" applyBorder="1"/>
    <xf numFmtId="166" fontId="6" fillId="30" borderId="15" xfId="0" applyNumberFormat="1" applyFont="1" applyFill="1" applyBorder="1"/>
    <xf numFmtId="166" fontId="6" fillId="8" borderId="14" xfId="0" applyNumberFormat="1" applyFont="1" applyFill="1" applyBorder="1"/>
    <xf numFmtId="166" fontId="6" fillId="21" borderId="14" xfId="0" applyNumberFormat="1" applyFont="1" applyFill="1" applyBorder="1"/>
    <xf numFmtId="166" fontId="6" fillId="45" borderId="14" xfId="0" applyNumberFormat="1" applyFont="1" applyFill="1" applyBorder="1"/>
    <xf numFmtId="166" fontId="6" fillId="46" borderId="14" xfId="0" applyNumberFormat="1" applyFont="1" applyFill="1" applyBorder="1"/>
    <xf numFmtId="166" fontId="6" fillId="17" borderId="8" xfId="0" applyNumberFormat="1" applyFont="1" applyFill="1" applyBorder="1"/>
    <xf numFmtId="166" fontId="6" fillId="47" borderId="9" xfId="0" applyNumberFormat="1" applyFont="1" applyFill="1" applyBorder="1"/>
    <xf numFmtId="166" fontId="6" fillId="48" borderId="9" xfId="0" applyNumberFormat="1" applyFont="1" applyFill="1" applyBorder="1"/>
    <xf numFmtId="166" fontId="6" fillId="7" borderId="10" xfId="0" applyNumberFormat="1" applyFont="1" applyFill="1" applyBorder="1"/>
    <xf numFmtId="166" fontId="6" fillId="49" borderId="8" xfId="0" applyNumberFormat="1" applyFont="1" applyFill="1" applyBorder="1"/>
    <xf numFmtId="166" fontId="6" fillId="50" borderId="9" xfId="0" applyNumberFormat="1" applyFont="1" applyFill="1" applyBorder="1"/>
    <xf numFmtId="166" fontId="6" fillId="18" borderId="9" xfId="0" applyNumberFormat="1" applyFont="1" applyFill="1" applyBorder="1"/>
    <xf numFmtId="166" fontId="6" fillId="51" borderId="9" xfId="0" applyNumberFormat="1" applyFont="1" applyFill="1" applyBorder="1"/>
    <xf numFmtId="166" fontId="6" fillId="15" borderId="9" xfId="0" applyNumberFormat="1" applyFont="1" applyFill="1" applyBorder="1"/>
    <xf numFmtId="166" fontId="6" fillId="52" borderId="11" xfId="0" applyNumberFormat="1" applyFont="1" applyFill="1" applyBorder="1"/>
    <xf numFmtId="166" fontId="6" fillId="53" borderId="0" xfId="0" applyNumberFormat="1" applyFont="1" applyFill="1"/>
    <xf numFmtId="166" fontId="6" fillId="54" borderId="11" xfId="0" applyNumberFormat="1" applyFont="1" applyFill="1" applyBorder="1"/>
    <xf numFmtId="166" fontId="6" fillId="49" borderId="0" xfId="0" applyNumberFormat="1" applyFont="1" applyFill="1"/>
    <xf numFmtId="166" fontId="6" fillId="50" borderId="0" xfId="0" applyNumberFormat="1" applyFont="1" applyFill="1"/>
    <xf numFmtId="166" fontId="6" fillId="55" borderId="0" xfId="0" applyNumberFormat="1" applyFont="1" applyFill="1"/>
    <xf numFmtId="166" fontId="6" fillId="56" borderId="0" xfId="0" applyNumberFormat="1" applyFont="1" applyFill="1"/>
    <xf numFmtId="166" fontId="6" fillId="57" borderId="0" xfId="0" applyNumberFormat="1" applyFont="1" applyFill="1"/>
    <xf numFmtId="166" fontId="6" fillId="21" borderId="12" xfId="0" applyNumberFormat="1" applyFont="1" applyFill="1" applyBorder="1"/>
    <xf numFmtId="166" fontId="6" fillId="5" borderId="11" xfId="0" applyNumberFormat="1" applyFont="1" applyFill="1" applyBorder="1"/>
    <xf numFmtId="166" fontId="6" fillId="58" borderId="0" xfId="0" applyNumberFormat="1" applyFont="1" applyFill="1"/>
    <xf numFmtId="166" fontId="6" fillId="59" borderId="0" xfId="0" applyNumberFormat="1" applyFont="1" applyFill="1"/>
    <xf numFmtId="166" fontId="6" fillId="60" borderId="0" xfId="0" applyNumberFormat="1" applyFont="1" applyFill="1"/>
    <xf numFmtId="166" fontId="6" fillId="61" borderId="12" xfId="0" applyNumberFormat="1" applyFont="1" applyFill="1" applyBorder="1"/>
    <xf numFmtId="166" fontId="6" fillId="62" borderId="0" xfId="0" applyNumberFormat="1" applyFont="1" applyFill="1"/>
    <xf numFmtId="166" fontId="6" fillId="63" borderId="0" xfId="0" applyNumberFormat="1" applyFont="1" applyFill="1"/>
    <xf numFmtId="166" fontId="6" fillId="64" borderId="0" xfId="0" applyNumberFormat="1" applyFont="1" applyFill="1"/>
    <xf numFmtId="166" fontId="6" fillId="65" borderId="12" xfId="0" applyNumberFormat="1" applyFont="1" applyFill="1" applyBorder="1"/>
    <xf numFmtId="166" fontId="6" fillId="66" borderId="0" xfId="0" applyNumberFormat="1" applyFont="1" applyFill="1"/>
    <xf numFmtId="166" fontId="6" fillId="67" borderId="12" xfId="0" applyNumberFormat="1" applyFont="1" applyFill="1" applyBorder="1"/>
    <xf numFmtId="166" fontId="6" fillId="68" borderId="11" xfId="0" applyNumberFormat="1" applyFont="1" applyFill="1" applyBorder="1"/>
    <xf numFmtId="166" fontId="6" fillId="69" borderId="0" xfId="0" applyNumberFormat="1" applyFont="1" applyFill="1"/>
    <xf numFmtId="166" fontId="6" fillId="70" borderId="11" xfId="0" applyNumberFormat="1" applyFont="1" applyFill="1" applyBorder="1"/>
    <xf numFmtId="166" fontId="6" fillId="71" borderId="0" xfId="0" applyNumberFormat="1" applyFont="1" applyFill="1"/>
    <xf numFmtId="166" fontId="6" fillId="72" borderId="0" xfId="0" applyNumberFormat="1" applyFont="1" applyFill="1"/>
    <xf numFmtId="166" fontId="6" fillId="73" borderId="0" xfId="0" applyNumberFormat="1" applyFont="1" applyFill="1"/>
    <xf numFmtId="166" fontId="6" fillId="30" borderId="12" xfId="0" applyNumberFormat="1" applyFont="1" applyFill="1" applyBorder="1"/>
    <xf numFmtId="166" fontId="6" fillId="74" borderId="11" xfId="0" applyNumberFormat="1" applyFont="1" applyFill="1" applyBorder="1"/>
    <xf numFmtId="166" fontId="6" fillId="75" borderId="0" xfId="0" applyNumberFormat="1" applyFont="1" applyFill="1"/>
    <xf numFmtId="166" fontId="6" fillId="76" borderId="0" xfId="0" applyNumberFormat="1" applyFont="1" applyFill="1"/>
    <xf numFmtId="166" fontId="6" fillId="61" borderId="0" xfId="0" applyNumberFormat="1" applyFont="1" applyFill="1"/>
    <xf numFmtId="166" fontId="6" fillId="15" borderId="14" xfId="0" applyNumberFormat="1" applyFont="1" applyFill="1" applyBorder="1"/>
    <xf numFmtId="166" fontId="6" fillId="62" borderId="14" xfId="0" applyNumberFormat="1" applyFont="1" applyFill="1" applyBorder="1"/>
    <xf numFmtId="166" fontId="6" fillId="0" borderId="15" xfId="0" applyNumberFormat="1" applyFont="1" applyBorder="1"/>
    <xf numFmtId="166" fontId="6" fillId="77" borderId="14" xfId="0" applyNumberFormat="1" applyFont="1" applyFill="1" applyBorder="1"/>
    <xf numFmtId="166" fontId="6" fillId="78" borderId="14" xfId="0" applyNumberFormat="1" applyFont="1" applyFill="1" applyBorder="1"/>
    <xf numFmtId="166" fontId="6" fillId="73" borderId="14" xfId="0" applyNumberFormat="1" applyFont="1" applyFill="1" applyBorder="1"/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2" xfId="0" applyFont="1" applyBorder="1" applyAlignment="1">
      <alignment horizontal="right"/>
    </xf>
    <xf numFmtId="0" fontId="6" fillId="0" borderId="3" xfId="0" applyFont="1" applyBorder="1" applyAlignment="1">
      <alignment horizontal="right"/>
    </xf>
    <xf numFmtId="0" fontId="6" fillId="0" borderId="4" xfId="0" applyFont="1" applyBorder="1" applyAlignment="1">
      <alignment horizontal="right"/>
    </xf>
    <xf numFmtId="169" fontId="3" fillId="0" borderId="8" xfId="0" applyNumberFormat="1" applyFont="1" applyBorder="1"/>
    <xf numFmtId="169" fontId="3" fillId="0" borderId="9" xfId="0" applyNumberFormat="1" applyFont="1" applyBorder="1"/>
    <xf numFmtId="169" fontId="3" fillId="0" borderId="10" xfId="0" applyNumberFormat="1" applyFont="1" applyBorder="1"/>
    <xf numFmtId="169" fontId="3" fillId="0" borderId="11" xfId="0" applyNumberFormat="1" applyFont="1" applyBorder="1"/>
    <xf numFmtId="169" fontId="3" fillId="0" borderId="0" xfId="0" applyNumberFormat="1" applyFont="1" applyBorder="1"/>
    <xf numFmtId="169" fontId="3" fillId="0" borderId="12" xfId="0" applyNumberFormat="1" applyFont="1" applyBorder="1"/>
    <xf numFmtId="169" fontId="3" fillId="0" borderId="13" xfId="0" applyNumberFormat="1" applyFont="1" applyBorder="1"/>
    <xf numFmtId="169" fontId="3" fillId="0" borderId="14" xfId="0" applyNumberFormat="1" applyFont="1" applyBorder="1"/>
    <xf numFmtId="169" fontId="3" fillId="0" borderId="15" xfId="0" applyNumberFormat="1" applyFont="1" applyBorder="1"/>
    <xf numFmtId="164" fontId="3" fillId="79" borderId="0" xfId="0" applyNumberFormat="1" applyFont="1" applyFill="1" applyBorder="1"/>
    <xf numFmtId="164" fontId="3" fillId="79" borderId="12" xfId="0" applyNumberFormat="1" applyFont="1" applyFill="1" applyBorder="1"/>
    <xf numFmtId="164" fontId="3" fillId="79" borderId="14" xfId="0" applyNumberFormat="1" applyFont="1" applyFill="1" applyBorder="1"/>
    <xf numFmtId="164" fontId="3" fillId="79" borderId="15" xfId="0" applyNumberFormat="1" applyFont="1" applyFill="1" applyBorder="1"/>
    <xf numFmtId="164" fontId="2" fillId="79" borderId="0" xfId="0" applyNumberFormat="1" applyFont="1" applyFill="1" applyBorder="1"/>
    <xf numFmtId="164" fontId="2" fillId="79" borderId="14" xfId="0" applyNumberFormat="1" applyFont="1" applyFill="1" applyBorder="1"/>
    <xf numFmtId="164" fontId="2" fillId="79" borderId="12" xfId="0" applyNumberFormat="1" applyFont="1" applyFill="1" applyBorder="1"/>
    <xf numFmtId="164" fontId="2" fillId="79" borderId="15" xfId="0" applyNumberFormat="1" applyFont="1" applyFill="1" applyBorder="1"/>
    <xf numFmtId="164" fontId="2" fillId="79" borderId="13" xfId="0" applyNumberFormat="1" applyFont="1" applyFill="1" applyBorder="1"/>
    <xf numFmtId="164" fontId="3" fillId="79" borderId="13" xfId="0" applyNumberFormat="1" applyFont="1" applyFill="1" applyBorder="1"/>
    <xf numFmtId="164" fontId="3" fillId="0" borderId="0" xfId="0" applyNumberFormat="1" applyFont="1" applyFill="1" applyBorder="1"/>
    <xf numFmtId="164" fontId="2" fillId="0" borderId="0" xfId="0" applyNumberFormat="1" applyFont="1" applyFill="1" applyBorder="1"/>
    <xf numFmtId="0" fontId="2" fillId="0" borderId="5" xfId="0" applyFont="1" applyFill="1" applyBorder="1" applyAlignment="1">
      <alignment horizontal="center"/>
    </xf>
    <xf numFmtId="0" fontId="2" fillId="0" borderId="6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center"/>
    </xf>
    <xf numFmtId="170" fontId="3" fillId="0" borderId="8" xfId="0" applyNumberFormat="1" applyFont="1" applyBorder="1"/>
    <xf numFmtId="170" fontId="3" fillId="0" borderId="9" xfId="0" applyNumberFormat="1" applyFont="1" applyBorder="1"/>
    <xf numFmtId="170" fontId="3" fillId="0" borderId="10" xfId="0" applyNumberFormat="1" applyFont="1" applyBorder="1"/>
    <xf numFmtId="170" fontId="3" fillId="0" borderId="11" xfId="0" applyNumberFormat="1" applyFont="1" applyBorder="1"/>
    <xf numFmtId="170" fontId="3" fillId="0" borderId="0" xfId="0" applyNumberFormat="1" applyFont="1" applyBorder="1"/>
    <xf numFmtId="170" fontId="3" fillId="0" borderId="12" xfId="0" applyNumberFormat="1" applyFont="1" applyBorder="1"/>
    <xf numFmtId="170" fontId="3" fillId="0" borderId="13" xfId="0" applyNumberFormat="1" applyFont="1" applyBorder="1"/>
    <xf numFmtId="170" fontId="3" fillId="0" borderId="14" xfId="0" applyNumberFormat="1" applyFont="1" applyBorder="1"/>
    <xf numFmtId="170" fontId="3" fillId="0" borderId="15" xfId="0" applyNumberFormat="1" applyFont="1" applyBorder="1"/>
    <xf numFmtId="170" fontId="2" fillId="0" borderId="8" xfId="0" applyNumberFormat="1" applyFont="1" applyBorder="1"/>
    <xf numFmtId="170" fontId="2" fillId="0" borderId="9" xfId="0" applyNumberFormat="1" applyFont="1" applyBorder="1"/>
    <xf numFmtId="170" fontId="2" fillId="0" borderId="10" xfId="0" applyNumberFormat="1" applyFont="1" applyBorder="1"/>
    <xf numFmtId="170" fontId="2" fillId="0" borderId="11" xfId="0" applyNumberFormat="1" applyFont="1" applyBorder="1"/>
    <xf numFmtId="170" fontId="2" fillId="0" borderId="0" xfId="0" applyNumberFormat="1" applyFont="1" applyBorder="1"/>
    <xf numFmtId="170" fontId="2" fillId="0" borderId="12" xfId="0" applyNumberFormat="1" applyFont="1" applyBorder="1"/>
    <xf numFmtId="170" fontId="2" fillId="0" borderId="13" xfId="0" applyNumberFormat="1" applyFont="1" applyBorder="1"/>
    <xf numFmtId="170" fontId="2" fillId="0" borderId="14" xfId="0" applyNumberFormat="1" applyFont="1" applyBorder="1"/>
    <xf numFmtId="170" fontId="2" fillId="0" borderId="15" xfId="0" applyNumberFormat="1" applyFont="1" applyBorder="1"/>
    <xf numFmtId="170" fontId="3" fillId="79" borderId="9" xfId="0" applyNumberFormat="1" applyFont="1" applyFill="1" applyBorder="1"/>
    <xf numFmtId="170" fontId="3" fillId="79" borderId="0" xfId="0" applyNumberFormat="1" applyFont="1" applyFill="1" applyBorder="1"/>
    <xf numFmtId="170" fontId="3" fillId="79" borderId="12" xfId="0" applyNumberFormat="1" applyFont="1" applyFill="1" applyBorder="1"/>
    <xf numFmtId="170" fontId="3" fillId="79" borderId="14" xfId="0" applyNumberFormat="1" applyFont="1" applyFill="1" applyBorder="1"/>
    <xf numFmtId="170" fontId="3" fillId="79" borderId="15" xfId="0" applyNumberFormat="1" applyFont="1" applyFill="1" applyBorder="1"/>
    <xf numFmtId="170" fontId="3" fillId="79" borderId="13" xfId="0" applyNumberFormat="1" applyFont="1" applyFill="1" applyBorder="1"/>
    <xf numFmtId="170" fontId="2" fillId="79" borderId="9" xfId="0" applyNumberFormat="1" applyFont="1" applyFill="1" applyBorder="1"/>
    <xf numFmtId="170" fontId="2" fillId="79" borderId="0" xfId="0" applyNumberFormat="1" applyFont="1" applyFill="1" applyBorder="1"/>
    <xf numFmtId="170" fontId="2" fillId="79" borderId="12" xfId="0" applyNumberFormat="1" applyFont="1" applyFill="1" applyBorder="1"/>
    <xf numFmtId="170" fontId="2" fillId="79" borderId="13" xfId="0" applyNumberFormat="1" applyFont="1" applyFill="1" applyBorder="1"/>
    <xf numFmtId="170" fontId="2" fillId="79" borderId="14" xfId="0" applyNumberFormat="1" applyFont="1" applyFill="1" applyBorder="1"/>
    <xf numFmtId="170" fontId="2" fillId="79" borderId="15" xfId="0" applyNumberFormat="1" applyFont="1" applyFill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47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40AB96-ECA6-C945-85B2-6BDC21E482D1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D3441CC-FE76-E546-9E90-FC6696B7B61E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D903BF-FC61-6142-AB72-A31BB23AA8B3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9CC3C84-0077-9441-81B1-EAE74341B378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DC08B3D-65CB-2C40-83C3-11B4A6C3BBD7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D0FC621-DEAF-B641-82EE-830474D147CE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47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BF37EF9-70A2-A44E-9E22-ECB368AFFAE0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432ECA6-EB91-9140-9842-6B0D3F826F12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69EF579-1CCE-764B-B52F-81B5BB6080BF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FC1585D-BEB5-6A4F-962E-F5960A439286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E0B2C1B-565E-E443-BEBA-E2A645661C53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CFA6006-D141-634A-A8D6-09900486A7A0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0</xdr:col>
      <xdr:colOff>203200</xdr:colOff>
      <xdr:row>119</xdr:row>
      <xdr:rowOff>0</xdr:rowOff>
    </xdr:from>
    <xdr:to>
      <xdr:col>3</xdr:col>
      <xdr:colOff>330200</xdr:colOff>
      <xdr:row>121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1244D2-3B01-ED4B-A854-5E77F0CA2B96}"/>
            </a:ext>
          </a:extLst>
        </xdr:cNvPr>
        <xdr:cNvSpPr txBox="1"/>
      </xdr:nvSpPr>
      <xdr:spPr>
        <a:xfrm>
          <a:off x="203200" y="24180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q10</a:t>
          </a:r>
        </a:p>
      </xdr:txBody>
    </xdr:sp>
    <xdr:clientData/>
  </xdr:twoCellAnchor>
  <xdr:twoCellAnchor>
    <xdr:from>
      <xdr:col>1</xdr:col>
      <xdr:colOff>25400</xdr:colOff>
      <xdr:row>135</xdr:row>
      <xdr:rowOff>50800</xdr:rowOff>
    </xdr:from>
    <xdr:to>
      <xdr:col>3</xdr:col>
      <xdr:colOff>368300</xdr:colOff>
      <xdr:row>137</xdr:row>
      <xdr:rowOff>50800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A6D33FA-9134-FB41-B605-CBE80323BE25}"/>
            </a:ext>
          </a:extLst>
        </xdr:cNvPr>
        <xdr:cNvSpPr txBox="1"/>
      </xdr:nvSpPr>
      <xdr:spPr>
        <a:xfrm>
          <a:off x="241300" y="27482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q30</a:t>
          </a:r>
        </a:p>
      </xdr:txBody>
    </xdr:sp>
    <xdr:clientData/>
  </xdr:twoCellAnchor>
  <xdr:twoCellAnchor>
    <xdr:from>
      <xdr:col>0</xdr:col>
      <xdr:colOff>203200</xdr:colOff>
      <xdr:row>151</xdr:row>
      <xdr:rowOff>12700</xdr:rowOff>
    </xdr:from>
    <xdr:to>
      <xdr:col>3</xdr:col>
      <xdr:colOff>330200</xdr:colOff>
      <xdr:row>153</xdr:row>
      <xdr:rowOff>12700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472FD4C-B30A-BA46-B609-BFCC0873C269}"/>
            </a:ext>
          </a:extLst>
        </xdr:cNvPr>
        <xdr:cNvSpPr txBox="1"/>
      </xdr:nvSpPr>
      <xdr:spPr>
        <a:xfrm>
          <a:off x="203200" y="30695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q50</a:t>
          </a:r>
        </a:p>
      </xdr:txBody>
    </xdr:sp>
    <xdr:clientData/>
  </xdr:twoCellAnchor>
  <xdr:twoCellAnchor>
    <xdr:from>
      <xdr:col>1</xdr:col>
      <xdr:colOff>0</xdr:colOff>
      <xdr:row>167</xdr:row>
      <xdr:rowOff>25400</xdr:rowOff>
    </xdr:from>
    <xdr:to>
      <xdr:col>3</xdr:col>
      <xdr:colOff>342900</xdr:colOff>
      <xdr:row>169</xdr:row>
      <xdr:rowOff>25400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21F8127D-D460-5B40-8720-03EA00E81B34}"/>
            </a:ext>
          </a:extLst>
        </xdr:cNvPr>
        <xdr:cNvSpPr txBox="1"/>
      </xdr:nvSpPr>
      <xdr:spPr>
        <a:xfrm>
          <a:off x="215900" y="33959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q70</a:t>
          </a:r>
        </a:p>
      </xdr:txBody>
    </xdr:sp>
    <xdr:clientData/>
  </xdr:twoCellAnchor>
  <xdr:twoCellAnchor>
    <xdr:from>
      <xdr:col>0</xdr:col>
      <xdr:colOff>177800</xdr:colOff>
      <xdr:row>183</xdr:row>
      <xdr:rowOff>25400</xdr:rowOff>
    </xdr:from>
    <xdr:to>
      <xdr:col>3</xdr:col>
      <xdr:colOff>304800</xdr:colOff>
      <xdr:row>185</xdr:row>
      <xdr:rowOff>25400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1BC47D-E112-3D4E-A50B-A0BD78CAFCF9}"/>
            </a:ext>
          </a:extLst>
        </xdr:cNvPr>
        <xdr:cNvSpPr txBox="1"/>
      </xdr:nvSpPr>
      <xdr:spPr>
        <a:xfrm>
          <a:off x="177800" y="372110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q90</a:t>
          </a:r>
        </a:p>
      </xdr:txBody>
    </xdr:sp>
    <xdr:clientData/>
  </xdr:twoCellAnchor>
  <xdr:twoCellAnchor>
    <xdr:from>
      <xdr:col>1</xdr:col>
      <xdr:colOff>12700</xdr:colOff>
      <xdr:row>102</xdr:row>
      <xdr:rowOff>152400</xdr:rowOff>
    </xdr:from>
    <xdr:to>
      <xdr:col>3</xdr:col>
      <xdr:colOff>355600</xdr:colOff>
      <xdr:row>104</xdr:row>
      <xdr:rowOff>152400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5D32122-1322-CF43-A61F-4D901F708E80}"/>
            </a:ext>
          </a:extLst>
        </xdr:cNvPr>
        <xdr:cNvSpPr txBox="1"/>
      </xdr:nvSpPr>
      <xdr:spPr>
        <a:xfrm>
          <a:off x="228600" y="20878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Mean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47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BE0E0A-D5B0-804B-A4AB-9E53BE26A1F2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C457ABC-967D-E140-962A-952BEA74578A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1F24CAC-848C-7C42-BE7C-A3FD06644252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8E2EBB9-5E1E-9749-84A1-9135D7D57DD1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EDDCACF-E282-464A-9F1D-E3275B3477E6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57AFCA6-3B67-8742-8E45-F26C2097CF47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0</xdr:col>
      <xdr:colOff>203200</xdr:colOff>
      <xdr:row>119</xdr:row>
      <xdr:rowOff>0</xdr:rowOff>
    </xdr:from>
    <xdr:to>
      <xdr:col>3</xdr:col>
      <xdr:colOff>330200</xdr:colOff>
      <xdr:row>121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015350D-3BA3-2E45-BCC0-7A8CE8F52AE9}"/>
            </a:ext>
          </a:extLst>
        </xdr:cNvPr>
        <xdr:cNvSpPr txBox="1"/>
      </xdr:nvSpPr>
      <xdr:spPr>
        <a:xfrm>
          <a:off x="203200" y="24180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q10</a:t>
          </a:r>
        </a:p>
      </xdr:txBody>
    </xdr:sp>
    <xdr:clientData/>
  </xdr:twoCellAnchor>
  <xdr:twoCellAnchor>
    <xdr:from>
      <xdr:col>1</xdr:col>
      <xdr:colOff>25400</xdr:colOff>
      <xdr:row>135</xdr:row>
      <xdr:rowOff>50800</xdr:rowOff>
    </xdr:from>
    <xdr:to>
      <xdr:col>3</xdr:col>
      <xdr:colOff>368300</xdr:colOff>
      <xdr:row>137</xdr:row>
      <xdr:rowOff>50800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F03E070-90B2-CF47-B835-20F1AF73D723}"/>
            </a:ext>
          </a:extLst>
        </xdr:cNvPr>
        <xdr:cNvSpPr txBox="1"/>
      </xdr:nvSpPr>
      <xdr:spPr>
        <a:xfrm>
          <a:off x="241300" y="27482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q30</a:t>
          </a:r>
        </a:p>
      </xdr:txBody>
    </xdr:sp>
    <xdr:clientData/>
  </xdr:twoCellAnchor>
  <xdr:twoCellAnchor>
    <xdr:from>
      <xdr:col>0</xdr:col>
      <xdr:colOff>203200</xdr:colOff>
      <xdr:row>151</xdr:row>
      <xdr:rowOff>12700</xdr:rowOff>
    </xdr:from>
    <xdr:to>
      <xdr:col>3</xdr:col>
      <xdr:colOff>330200</xdr:colOff>
      <xdr:row>153</xdr:row>
      <xdr:rowOff>12700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E9181D0-3075-1348-BB3E-20B4227C04E3}"/>
            </a:ext>
          </a:extLst>
        </xdr:cNvPr>
        <xdr:cNvSpPr txBox="1"/>
      </xdr:nvSpPr>
      <xdr:spPr>
        <a:xfrm>
          <a:off x="203200" y="30695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q50</a:t>
          </a:r>
        </a:p>
      </xdr:txBody>
    </xdr:sp>
    <xdr:clientData/>
  </xdr:twoCellAnchor>
  <xdr:twoCellAnchor>
    <xdr:from>
      <xdr:col>1</xdr:col>
      <xdr:colOff>0</xdr:colOff>
      <xdr:row>167</xdr:row>
      <xdr:rowOff>25400</xdr:rowOff>
    </xdr:from>
    <xdr:to>
      <xdr:col>3</xdr:col>
      <xdr:colOff>342900</xdr:colOff>
      <xdr:row>169</xdr:row>
      <xdr:rowOff>25400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202EB69-1984-C34D-A110-49607BEFA104}"/>
            </a:ext>
          </a:extLst>
        </xdr:cNvPr>
        <xdr:cNvSpPr txBox="1"/>
      </xdr:nvSpPr>
      <xdr:spPr>
        <a:xfrm>
          <a:off x="215900" y="33959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q70</a:t>
          </a:r>
        </a:p>
      </xdr:txBody>
    </xdr:sp>
    <xdr:clientData/>
  </xdr:twoCellAnchor>
  <xdr:twoCellAnchor>
    <xdr:from>
      <xdr:col>0</xdr:col>
      <xdr:colOff>177800</xdr:colOff>
      <xdr:row>183</xdr:row>
      <xdr:rowOff>25400</xdr:rowOff>
    </xdr:from>
    <xdr:to>
      <xdr:col>3</xdr:col>
      <xdr:colOff>304800</xdr:colOff>
      <xdr:row>185</xdr:row>
      <xdr:rowOff>25400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D0F6D54-D801-0241-A058-589F382DB07A}"/>
            </a:ext>
          </a:extLst>
        </xdr:cNvPr>
        <xdr:cNvSpPr txBox="1"/>
      </xdr:nvSpPr>
      <xdr:spPr>
        <a:xfrm>
          <a:off x="177800" y="372110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q90</a:t>
          </a:r>
        </a:p>
      </xdr:txBody>
    </xdr:sp>
    <xdr:clientData/>
  </xdr:twoCellAnchor>
  <xdr:twoCellAnchor>
    <xdr:from>
      <xdr:col>1</xdr:col>
      <xdr:colOff>12700</xdr:colOff>
      <xdr:row>102</xdr:row>
      <xdr:rowOff>152400</xdr:rowOff>
    </xdr:from>
    <xdr:to>
      <xdr:col>3</xdr:col>
      <xdr:colOff>355600</xdr:colOff>
      <xdr:row>104</xdr:row>
      <xdr:rowOff>152400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369519C-7B29-E74A-9B4B-668E3CCE11BB}"/>
            </a:ext>
          </a:extLst>
        </xdr:cNvPr>
        <xdr:cNvSpPr txBox="1"/>
      </xdr:nvSpPr>
      <xdr:spPr>
        <a:xfrm>
          <a:off x="228600" y="20878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Mean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48</xdr:row>
      <xdr:rowOff>63500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6DE82C-85C7-9B41-A469-7797E41031E8}"/>
            </a:ext>
          </a:extLst>
        </xdr:cNvPr>
        <xdr:cNvSpPr txBox="1"/>
      </xdr:nvSpPr>
      <xdr:spPr>
        <a:xfrm>
          <a:off x="254000" y="9080500"/>
          <a:ext cx="1587500" cy="73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A8B7694-3164-8C46-845E-36DD7AA568B6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A2C6AE9-8CC8-BA4F-ACA7-972F516832A4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962322E-A755-6F42-80A8-C1D1D29A9FA5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40A3176-41A7-C34C-AE5B-1AE43EFAB984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8DECF73-AD60-6845-9452-C796F4AF5272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1</xdr:col>
      <xdr:colOff>88900</xdr:colOff>
      <xdr:row>102</xdr:row>
      <xdr:rowOff>190500</xdr:rowOff>
    </xdr:from>
    <xdr:to>
      <xdr:col>3</xdr:col>
      <xdr:colOff>431800</xdr:colOff>
      <xdr:row>104</xdr:row>
      <xdr:rowOff>190500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9C25E45-262A-344A-8396-7BA03DB8108D}"/>
            </a:ext>
          </a:extLst>
        </xdr:cNvPr>
        <xdr:cNvSpPr txBox="1"/>
      </xdr:nvSpPr>
      <xdr:spPr>
        <a:xfrm>
          <a:off x="304800" y="20916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Mean</a:t>
          </a:r>
        </a:p>
      </xdr:txBody>
    </xdr:sp>
    <xdr:clientData/>
  </xdr:twoCellAnchor>
  <xdr:twoCellAnchor>
    <xdr:from>
      <xdr:col>0</xdr:col>
      <xdr:colOff>203200</xdr:colOff>
      <xdr:row>119</xdr:row>
      <xdr:rowOff>0</xdr:rowOff>
    </xdr:from>
    <xdr:to>
      <xdr:col>3</xdr:col>
      <xdr:colOff>330200</xdr:colOff>
      <xdr:row>121</xdr:row>
      <xdr:rowOff>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9B3DAD2-FF41-8449-90C7-9FE825AA1824}"/>
            </a:ext>
          </a:extLst>
        </xdr:cNvPr>
        <xdr:cNvSpPr txBox="1"/>
      </xdr:nvSpPr>
      <xdr:spPr>
        <a:xfrm>
          <a:off x="203200" y="24180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q10</a:t>
          </a:r>
        </a:p>
      </xdr:txBody>
    </xdr:sp>
    <xdr:clientData/>
  </xdr:twoCellAnchor>
  <xdr:twoCellAnchor>
    <xdr:from>
      <xdr:col>1</xdr:col>
      <xdr:colOff>25400</xdr:colOff>
      <xdr:row>135</xdr:row>
      <xdr:rowOff>50800</xdr:rowOff>
    </xdr:from>
    <xdr:to>
      <xdr:col>3</xdr:col>
      <xdr:colOff>368300</xdr:colOff>
      <xdr:row>137</xdr:row>
      <xdr:rowOff>50800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113BD98-6859-FA43-A6AE-90AA9E3F4020}"/>
            </a:ext>
          </a:extLst>
        </xdr:cNvPr>
        <xdr:cNvSpPr txBox="1"/>
      </xdr:nvSpPr>
      <xdr:spPr>
        <a:xfrm>
          <a:off x="241300" y="27482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q30</a:t>
          </a:r>
        </a:p>
      </xdr:txBody>
    </xdr:sp>
    <xdr:clientData/>
  </xdr:twoCellAnchor>
  <xdr:twoCellAnchor>
    <xdr:from>
      <xdr:col>0</xdr:col>
      <xdr:colOff>203200</xdr:colOff>
      <xdr:row>151</xdr:row>
      <xdr:rowOff>12700</xdr:rowOff>
    </xdr:from>
    <xdr:to>
      <xdr:col>3</xdr:col>
      <xdr:colOff>330200</xdr:colOff>
      <xdr:row>153</xdr:row>
      <xdr:rowOff>12700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E6EC58BB-88A6-DA43-A0B0-0B8DBEC5E4EA}"/>
            </a:ext>
          </a:extLst>
        </xdr:cNvPr>
        <xdr:cNvSpPr txBox="1"/>
      </xdr:nvSpPr>
      <xdr:spPr>
        <a:xfrm>
          <a:off x="203200" y="30695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q50</a:t>
          </a:r>
        </a:p>
      </xdr:txBody>
    </xdr:sp>
    <xdr:clientData/>
  </xdr:twoCellAnchor>
  <xdr:twoCellAnchor>
    <xdr:from>
      <xdr:col>1</xdr:col>
      <xdr:colOff>0</xdr:colOff>
      <xdr:row>167</xdr:row>
      <xdr:rowOff>25400</xdr:rowOff>
    </xdr:from>
    <xdr:to>
      <xdr:col>3</xdr:col>
      <xdr:colOff>342900</xdr:colOff>
      <xdr:row>169</xdr:row>
      <xdr:rowOff>25400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DA7749D-4B1B-1A45-8765-134F52F884DB}"/>
            </a:ext>
          </a:extLst>
        </xdr:cNvPr>
        <xdr:cNvSpPr txBox="1"/>
      </xdr:nvSpPr>
      <xdr:spPr>
        <a:xfrm>
          <a:off x="215900" y="33959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q70</a:t>
          </a:r>
        </a:p>
      </xdr:txBody>
    </xdr:sp>
    <xdr:clientData/>
  </xdr:twoCellAnchor>
  <xdr:twoCellAnchor>
    <xdr:from>
      <xdr:col>0</xdr:col>
      <xdr:colOff>177800</xdr:colOff>
      <xdr:row>183</xdr:row>
      <xdr:rowOff>25400</xdr:rowOff>
    </xdr:from>
    <xdr:to>
      <xdr:col>3</xdr:col>
      <xdr:colOff>304800</xdr:colOff>
      <xdr:row>185</xdr:row>
      <xdr:rowOff>25400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8A43DCB-6694-B248-9973-495C63D5FDE8}"/>
            </a:ext>
          </a:extLst>
        </xdr:cNvPr>
        <xdr:cNvSpPr txBox="1"/>
      </xdr:nvSpPr>
      <xdr:spPr>
        <a:xfrm>
          <a:off x="177800" y="372110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q90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642A1-0699-234A-8B43-781EB344467D}">
  <dimension ref="B2:Z129"/>
  <sheetViews>
    <sheetView showGridLines="0" workbookViewId="0">
      <selection activeCell="D22" sqref="D22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38500</v>
      </c>
      <c r="E3" s="20"/>
      <c r="F3" s="21">
        <f>C7</f>
        <v>1.51878045467599</v>
      </c>
      <c r="G3" s="22">
        <f>C8</f>
        <v>1.0609337161347201</v>
      </c>
      <c r="H3" s="22">
        <f>C9</f>
        <v>0.61150771852670405</v>
      </c>
      <c r="I3" s="22">
        <f>C10</f>
        <v>0</v>
      </c>
      <c r="J3" s="22">
        <f>C11</f>
        <v>0</v>
      </c>
      <c r="K3" s="22">
        <f>C12</f>
        <v>0</v>
      </c>
      <c r="L3" s="23">
        <f>C13</f>
        <v>0</v>
      </c>
      <c r="M3" s="21">
        <f>C14</f>
        <v>1.4828671095071</v>
      </c>
      <c r="N3" s="22">
        <f>C15</f>
        <v>1.09488886432123</v>
      </c>
      <c r="O3" s="22">
        <f>C16</f>
        <v>0.59908697219746898</v>
      </c>
      <c r="P3" s="22">
        <f>C17</f>
        <v>0</v>
      </c>
      <c r="Q3" s="22">
        <f>C18</f>
        <v>0</v>
      </c>
      <c r="R3" s="22">
        <f>C19</f>
        <v>0</v>
      </c>
      <c r="S3" s="23">
        <f>C20</f>
        <v>0</v>
      </c>
      <c r="U3" s="39" t="s">
        <v>17</v>
      </c>
      <c r="V3" s="38">
        <f>9.25*3600</f>
        <v>33300</v>
      </c>
      <c r="X3" s="77" t="s">
        <v>26</v>
      </c>
      <c r="Y3" s="76">
        <v>3543450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1.51878045467599</v>
      </c>
      <c r="E7" s="44" t="s">
        <v>0</v>
      </c>
      <c r="F7" s="29">
        <v>0.34290918891870298</v>
      </c>
      <c r="G7" s="31">
        <v>0.16423602524624401</v>
      </c>
      <c r="H7" s="31">
        <v>6.2712640609646E-2</v>
      </c>
      <c r="I7" s="31">
        <v>0.73144529941428205</v>
      </c>
      <c r="J7" s="31">
        <v>0.73070029964613203</v>
      </c>
      <c r="K7" s="31">
        <v>0.32677764050452002</v>
      </c>
      <c r="L7" s="33">
        <v>9.5808604335316794E-2</v>
      </c>
      <c r="M7" s="29">
        <v>1.60094230504375E-2</v>
      </c>
      <c r="N7" s="31">
        <v>1.12830138940898E-2</v>
      </c>
      <c r="O7" s="31">
        <v>1.68229278805666E-2</v>
      </c>
      <c r="P7" s="31">
        <v>6.4279849942858999E-2</v>
      </c>
      <c r="Q7" s="31">
        <v>0.16771140998082659</v>
      </c>
      <c r="R7" s="31">
        <v>0.15374369066243801</v>
      </c>
      <c r="S7" s="33">
        <v>0.14441939502882839</v>
      </c>
      <c r="U7" s="44" t="s">
        <v>0</v>
      </c>
      <c r="V7" s="8">
        <v>3.1986618451414239</v>
      </c>
      <c r="X7" s="44" t="s">
        <v>0</v>
      </c>
      <c r="Y7" s="47">
        <v>116359</v>
      </c>
    </row>
    <row r="8" spans="2:25">
      <c r="B8" s="45" t="s">
        <v>1</v>
      </c>
      <c r="C8" s="27">
        <v>1.0609337161347201</v>
      </c>
      <c r="E8" s="45" t="s">
        <v>1</v>
      </c>
      <c r="F8" s="32">
        <v>9.19475032400391E-2</v>
      </c>
      <c r="G8" s="30">
        <v>0.327374230271535</v>
      </c>
      <c r="H8" s="30">
        <v>4.15683675079149E-2</v>
      </c>
      <c r="I8" s="30">
        <v>0.15230805609408679</v>
      </c>
      <c r="J8" s="30">
        <v>3.9268737510518001E-2</v>
      </c>
      <c r="K8" s="30">
        <v>4.83053611321154E-2</v>
      </c>
      <c r="L8" s="34">
        <v>0.11634271832185281</v>
      </c>
      <c r="M8" s="32">
        <v>3.1708912530308601E-2</v>
      </c>
      <c r="N8" s="30">
        <v>2.5552260374807199E-2</v>
      </c>
      <c r="O8" s="30">
        <v>1.89301622362744E-2</v>
      </c>
      <c r="P8" s="30">
        <v>-9.1978799389970806E-2</v>
      </c>
      <c r="Q8" s="30">
        <v>-8.63493843606504E-2</v>
      </c>
      <c r="R8" s="30">
        <v>9.2316148999893197E-2</v>
      </c>
      <c r="S8" s="34">
        <v>0.11350646975996601</v>
      </c>
      <c r="U8" s="45" t="s">
        <v>1</v>
      </c>
      <c r="V8" s="9">
        <v>2.3043430916925374</v>
      </c>
      <c r="X8" s="45" t="s">
        <v>1</v>
      </c>
      <c r="Y8" s="48">
        <v>81495</v>
      </c>
    </row>
    <row r="9" spans="2:25">
      <c r="B9" s="45" t="s">
        <v>2</v>
      </c>
      <c r="C9" s="27">
        <v>0.61150771852670405</v>
      </c>
      <c r="E9" s="45" t="s">
        <v>2</v>
      </c>
      <c r="F9" s="32">
        <v>6.5067782908926498E-3</v>
      </c>
      <c r="G9" s="30">
        <v>2.01343346202001E-2</v>
      </c>
      <c r="H9" s="30">
        <v>0.201700056144517</v>
      </c>
      <c r="I9" s="30">
        <v>-7.6637394889592604E-3</v>
      </c>
      <c r="J9" s="30">
        <v>-4.7063983476028401E-2</v>
      </c>
      <c r="K9" s="30">
        <v>-9.8420360440883998E-3</v>
      </c>
      <c r="L9" s="34">
        <v>-3.1965467367708798E-2</v>
      </c>
      <c r="M9" s="32">
        <v>2.9324698691545899E-3</v>
      </c>
      <c r="N9" s="30">
        <v>3.6562217758992202E-3</v>
      </c>
      <c r="O9" s="30">
        <v>-1.8903609568762299E-3</v>
      </c>
      <c r="P9" s="30">
        <v>6.0011171736541198E-2</v>
      </c>
      <c r="Q9" s="30">
        <v>0.19905398943996161</v>
      </c>
      <c r="R9" s="30">
        <v>3.8352177427459599E-3</v>
      </c>
      <c r="S9" s="34">
        <v>-7.2729617251107003E-3</v>
      </c>
      <c r="U9" s="45" t="s">
        <v>2</v>
      </c>
      <c r="V9" s="9">
        <v>0.88273967426226829</v>
      </c>
      <c r="X9" s="45" t="s">
        <v>2</v>
      </c>
      <c r="Y9" s="48">
        <v>29840</v>
      </c>
    </row>
    <row r="10" spans="2:25">
      <c r="B10" s="45" t="s">
        <v>3</v>
      </c>
      <c r="C10" s="27">
        <v>0</v>
      </c>
      <c r="E10" s="45" t="s">
        <v>3</v>
      </c>
      <c r="F10" s="32">
        <v>6.6583095926289297E-3</v>
      </c>
      <c r="G10" s="30">
        <v>5.9456003485464804E-3</v>
      </c>
      <c r="H10" s="30">
        <v>5.4136263962473001E-3</v>
      </c>
      <c r="I10" s="30">
        <v>0</v>
      </c>
      <c r="J10" s="30">
        <v>0</v>
      </c>
      <c r="K10" s="30">
        <v>0.587065689091402</v>
      </c>
      <c r="L10" s="34">
        <v>0.42454920127956602</v>
      </c>
      <c r="M10" s="32">
        <v>1.852603113978E-3</v>
      </c>
      <c r="N10" s="30">
        <v>3.8995790992995098E-3</v>
      </c>
      <c r="O10" s="30">
        <v>-2.0026374279151901E-3</v>
      </c>
      <c r="P10" s="30">
        <v>0</v>
      </c>
      <c r="Q10" s="30">
        <v>0</v>
      </c>
      <c r="R10" s="30">
        <v>0.17574761108843601</v>
      </c>
      <c r="S10" s="34">
        <v>0.25088973193541197</v>
      </c>
      <c r="U10" s="45" t="s">
        <v>3</v>
      </c>
      <c r="V10" s="9">
        <v>2.4256237190429911E-2</v>
      </c>
      <c r="X10" s="45" t="s">
        <v>3</v>
      </c>
      <c r="Y10" s="48">
        <v>5189</v>
      </c>
    </row>
    <row r="11" spans="2:25">
      <c r="B11" s="45" t="s">
        <v>4</v>
      </c>
      <c r="C11" s="27">
        <v>0</v>
      </c>
      <c r="E11" s="45" t="s">
        <v>4</v>
      </c>
      <c r="F11" s="32">
        <v>1.4685633752494439E-3</v>
      </c>
      <c r="G11" s="30">
        <v>5.36290277320266E-3</v>
      </c>
      <c r="H11" s="30">
        <v>1.1696661238548499E-2</v>
      </c>
      <c r="I11" s="30">
        <v>0</v>
      </c>
      <c r="J11" s="30">
        <v>0</v>
      </c>
      <c r="K11" s="30">
        <v>0</v>
      </c>
      <c r="L11" s="34">
        <v>0</v>
      </c>
      <c r="M11" s="32">
        <v>8.7083947599265197E-4</v>
      </c>
      <c r="N11" s="30">
        <v>2.0814275293230601E-3</v>
      </c>
      <c r="O11" s="30">
        <v>1.8776987287010599E-3</v>
      </c>
      <c r="P11" s="30">
        <v>3.3305778786984201E-2</v>
      </c>
      <c r="Q11" s="30">
        <v>3.1775734543110598E-2</v>
      </c>
      <c r="R11" s="30">
        <v>0</v>
      </c>
      <c r="S11" s="34">
        <v>0</v>
      </c>
      <c r="U11" s="45" t="s">
        <v>4</v>
      </c>
      <c r="V11" s="9">
        <v>3.8318980917065294E-2</v>
      </c>
      <c r="X11" s="45" t="s">
        <v>4</v>
      </c>
      <c r="Y11" s="48">
        <v>1546</v>
      </c>
    </row>
    <row r="12" spans="2:25">
      <c r="B12" s="45" t="s">
        <v>5</v>
      </c>
      <c r="C12" s="27">
        <v>0</v>
      </c>
      <c r="E12" s="45" t="s">
        <v>5</v>
      </c>
      <c r="F12" s="32">
        <v>3.66416606529392E-3</v>
      </c>
      <c r="G12" s="30">
        <v>7.9156241276760794E-3</v>
      </c>
      <c r="H12" s="30">
        <v>3.5579166521506202E-2</v>
      </c>
      <c r="I12" s="30">
        <v>0</v>
      </c>
      <c r="J12" s="30">
        <v>0</v>
      </c>
      <c r="K12" s="30">
        <v>0</v>
      </c>
      <c r="L12" s="34">
        <v>0</v>
      </c>
      <c r="M12" s="32">
        <v>4.2036128743123599E-4</v>
      </c>
      <c r="N12" s="30">
        <v>4.3691812771509799E-3</v>
      </c>
      <c r="O12" s="30">
        <v>-1.2105996960914201E-3</v>
      </c>
      <c r="P12" s="30">
        <v>4.2957499636794599E-2</v>
      </c>
      <c r="Q12" s="30">
        <v>5.5365302293403001E-2</v>
      </c>
      <c r="R12" s="30">
        <v>0</v>
      </c>
      <c r="S12" s="34">
        <v>0</v>
      </c>
      <c r="U12" s="45" t="s">
        <v>5</v>
      </c>
      <c r="V12" s="9">
        <v>7.441030444641214E-2</v>
      </c>
      <c r="X12" s="45" t="s">
        <v>5</v>
      </c>
      <c r="Y12" s="48">
        <v>2828</v>
      </c>
    </row>
    <row r="13" spans="2:25">
      <c r="B13" s="46" t="s">
        <v>6</v>
      </c>
      <c r="C13" s="28">
        <v>0</v>
      </c>
      <c r="E13" s="46" t="s">
        <v>6</v>
      </c>
      <c r="F13" s="37">
        <v>1.23030981709017E-3</v>
      </c>
      <c r="G13" s="36">
        <v>5.6400570088690899E-3</v>
      </c>
      <c r="H13" s="36">
        <v>7.3297327873314104E-3</v>
      </c>
      <c r="I13" s="36">
        <v>0</v>
      </c>
      <c r="J13" s="36">
        <v>0</v>
      </c>
      <c r="K13" s="36">
        <v>0</v>
      </c>
      <c r="L13" s="35">
        <v>0</v>
      </c>
      <c r="M13" s="37">
        <v>-0.05</v>
      </c>
      <c r="N13" s="36">
        <v>2.0770921385372802E-3</v>
      </c>
      <c r="O13" s="36">
        <v>-1.1082373319028099E-3</v>
      </c>
      <c r="P13" s="36">
        <v>9.8466737969262794E-2</v>
      </c>
      <c r="Q13" s="36">
        <v>5.99315561359876E-2</v>
      </c>
      <c r="R13" s="36">
        <v>0</v>
      </c>
      <c r="S13" s="35">
        <v>0</v>
      </c>
      <c r="U13" s="46" t="s">
        <v>6</v>
      </c>
      <c r="V13" s="10">
        <v>-0.12514064086479226</v>
      </c>
      <c r="X13" s="46" t="s">
        <v>6</v>
      </c>
      <c r="Y13" s="49">
        <v>1566</v>
      </c>
    </row>
    <row r="14" spans="2:25">
      <c r="B14" s="44" t="s">
        <v>7</v>
      </c>
      <c r="C14" s="8">
        <v>1.4828671095071</v>
      </c>
      <c r="E14" s="44" t="s">
        <v>7</v>
      </c>
      <c r="F14" s="11">
        <v>1.5383192486147401E-2</v>
      </c>
      <c r="G14" s="12">
        <v>1.16132993025244E-2</v>
      </c>
      <c r="H14" s="12">
        <v>1.4300978263131901E-2</v>
      </c>
      <c r="I14" s="12">
        <v>4.5790534710452399E-2</v>
      </c>
      <c r="J14" s="12">
        <v>0.15626086563749861</v>
      </c>
      <c r="K14" s="12">
        <v>0.1392559880827674</v>
      </c>
      <c r="L14" s="13">
        <v>0.1101422009621472</v>
      </c>
      <c r="M14" s="11">
        <v>0.34049348468739599</v>
      </c>
      <c r="N14" s="12">
        <v>0.16339375858194899</v>
      </c>
      <c r="O14" s="12">
        <v>6.5933675398837793E-2</v>
      </c>
      <c r="P14" s="12">
        <v>0.70651438917716003</v>
      </c>
      <c r="Q14" s="12">
        <v>0.66776531420212604</v>
      </c>
      <c r="R14" s="12">
        <v>0.310871553949358</v>
      </c>
      <c r="S14" s="13">
        <v>0.128211906796494</v>
      </c>
      <c r="U14" s="44" t="s">
        <v>7</v>
      </c>
      <c r="V14" s="8">
        <v>3.123416437987947</v>
      </c>
      <c r="X14" s="44" t="s">
        <v>7</v>
      </c>
      <c r="Y14" s="47">
        <v>113498</v>
      </c>
    </row>
    <row r="15" spans="2:25">
      <c r="B15" s="45" t="s">
        <v>8</v>
      </c>
      <c r="C15" s="9">
        <v>1.09488886432123</v>
      </c>
      <c r="E15" s="45" t="s">
        <v>8</v>
      </c>
      <c r="F15" s="14">
        <v>2.9380462991380699E-2</v>
      </c>
      <c r="G15" s="15">
        <v>2.80987470351753E-2</v>
      </c>
      <c r="H15" s="15">
        <v>2.0915047773490798E-2</v>
      </c>
      <c r="I15" s="15">
        <v>-8.2676695368619393E-2</v>
      </c>
      <c r="J15" s="15">
        <v>-8.0499066700639402E-2</v>
      </c>
      <c r="K15" s="15">
        <v>5.8170312381818197E-2</v>
      </c>
      <c r="L15" s="16">
        <v>0.13052067962960801</v>
      </c>
      <c r="M15" s="14">
        <v>9.0577266248633007E-2</v>
      </c>
      <c r="N15" s="15">
        <v>0.32953092945978102</v>
      </c>
      <c r="O15" s="15">
        <v>4.0762039145847598E-2</v>
      </c>
      <c r="P15" s="15">
        <v>0.16276860011545941</v>
      </c>
      <c r="Q15" s="15">
        <v>6.2688572685353203E-2</v>
      </c>
      <c r="R15" s="15">
        <v>7.4019333683546407E-2</v>
      </c>
      <c r="S15" s="16">
        <v>7.9564885077762396E-2</v>
      </c>
      <c r="U15" s="45" t="s">
        <v>8</v>
      </c>
      <c r="V15" s="9">
        <v>2.349207436466044</v>
      </c>
      <c r="X15" s="45" t="s">
        <v>8</v>
      </c>
      <c r="Y15" s="48">
        <v>83960</v>
      </c>
    </row>
    <row r="16" spans="2:25">
      <c r="B16" s="45" t="s">
        <v>9</v>
      </c>
      <c r="C16" s="9">
        <v>0.59908697219746898</v>
      </c>
      <c r="E16" s="45" t="s">
        <v>9</v>
      </c>
      <c r="F16" s="14">
        <v>3.3039268542810999E-3</v>
      </c>
      <c r="G16" s="15">
        <v>3.9563700985586203E-3</v>
      </c>
      <c r="H16" s="15">
        <v>-1.40582381833015E-3</v>
      </c>
      <c r="I16" s="15">
        <v>5.8408266174923999E-2</v>
      </c>
      <c r="J16" s="15">
        <v>0.18654678899635421</v>
      </c>
      <c r="K16" s="15">
        <v>-3.7347903440937799E-3</v>
      </c>
      <c r="L16" s="16">
        <v>-5.6473687804617203E-3</v>
      </c>
      <c r="M16" s="14">
        <v>8.3022969830123892E-3</v>
      </c>
      <c r="N16" s="15">
        <v>1.92274521616131E-2</v>
      </c>
      <c r="O16" s="15">
        <v>0.223611626935795</v>
      </c>
      <c r="P16" s="15">
        <v>-1.0193063524283581E-2</v>
      </c>
      <c r="Q16" s="15">
        <v>-5.4857660104100398E-2</v>
      </c>
      <c r="R16" s="15">
        <v>3.8895601338187402E-3</v>
      </c>
      <c r="S16" s="16">
        <v>-4.3246909843594597E-2</v>
      </c>
      <c r="U16" s="45" t="s">
        <v>9</v>
      </c>
      <c r="V16" s="9">
        <v>0.90367401709998396</v>
      </c>
      <c r="X16" s="45" t="s">
        <v>9</v>
      </c>
      <c r="Y16" s="48">
        <v>30343</v>
      </c>
    </row>
    <row r="17" spans="2:25">
      <c r="B17" s="45" t="s">
        <v>10</v>
      </c>
      <c r="C17" s="9">
        <v>0</v>
      </c>
      <c r="E17" s="45" t="s">
        <v>10</v>
      </c>
      <c r="F17" s="14">
        <v>1.9889598950882802E-3</v>
      </c>
      <c r="G17" s="15">
        <v>4.2062850823392202E-3</v>
      </c>
      <c r="H17" s="15">
        <v>-1.11642431611279E-3</v>
      </c>
      <c r="I17" s="15">
        <v>0</v>
      </c>
      <c r="J17" s="15">
        <v>0</v>
      </c>
      <c r="K17" s="15">
        <v>0.19765491247327061</v>
      </c>
      <c r="L17" s="16">
        <v>0.24892775098717601</v>
      </c>
      <c r="M17" s="14">
        <v>5.5296339103878397E-3</v>
      </c>
      <c r="N17" s="15">
        <v>7.2267742091874799E-3</v>
      </c>
      <c r="O17" s="15">
        <v>6.0280852769722297E-3</v>
      </c>
      <c r="P17" s="15">
        <v>0</v>
      </c>
      <c r="Q17" s="15">
        <v>0</v>
      </c>
      <c r="R17" s="15">
        <v>0.57294432502425796</v>
      </c>
      <c r="S17" s="16">
        <v>0.48499483440487201</v>
      </c>
      <c r="U17" s="45" t="s">
        <v>10</v>
      </c>
      <c r="V17" s="9">
        <v>1.8849057240269647E-2</v>
      </c>
      <c r="X17" s="45" t="s">
        <v>10</v>
      </c>
      <c r="Y17" s="48">
        <v>5367</v>
      </c>
    </row>
    <row r="18" spans="2:25">
      <c r="B18" s="45" t="s">
        <v>11</v>
      </c>
      <c r="C18" s="9">
        <v>0</v>
      </c>
      <c r="E18" s="45" t="s">
        <v>11</v>
      </c>
      <c r="F18" s="14">
        <v>5.3940086981092803E-4</v>
      </c>
      <c r="G18" s="15">
        <v>1.712620586305098E-3</v>
      </c>
      <c r="H18" s="15">
        <v>-4.6916488072681201E-4</v>
      </c>
      <c r="I18" s="15">
        <v>4.3354287265355798E-2</v>
      </c>
      <c r="J18" s="15">
        <v>2.9281629907899401E-2</v>
      </c>
      <c r="K18" s="15">
        <v>0</v>
      </c>
      <c r="L18" s="16">
        <v>0</v>
      </c>
      <c r="M18" s="14">
        <v>1.790985265799526E-3</v>
      </c>
      <c r="N18" s="15">
        <v>3.13692577225262E-3</v>
      </c>
      <c r="O18" s="15">
        <v>1.2401404514744E-2</v>
      </c>
      <c r="P18" s="15">
        <v>0</v>
      </c>
      <c r="Q18" s="15">
        <v>0</v>
      </c>
      <c r="R18" s="15">
        <v>0</v>
      </c>
      <c r="S18" s="16">
        <v>0</v>
      </c>
      <c r="U18" s="45" t="s">
        <v>11</v>
      </c>
      <c r="V18" s="9">
        <v>3.1601439243777563E-2</v>
      </c>
      <c r="X18" s="45" t="s">
        <v>11</v>
      </c>
      <c r="Y18" s="48">
        <v>1272</v>
      </c>
    </row>
    <row r="19" spans="2:25">
      <c r="B19" s="45" t="s">
        <v>12</v>
      </c>
      <c r="C19" s="9">
        <v>0</v>
      </c>
      <c r="E19" s="45" t="s">
        <v>12</v>
      </c>
      <c r="F19" s="14">
        <v>4.2036128743123599E-4</v>
      </c>
      <c r="G19" s="15">
        <v>4.8255175631262198E-3</v>
      </c>
      <c r="H19" s="15">
        <v>-3.9310549530776798E-4</v>
      </c>
      <c r="I19" s="15">
        <v>3.8126322940045802E-2</v>
      </c>
      <c r="J19" s="15">
        <v>2.89799947496906E-2</v>
      </c>
      <c r="K19" s="15">
        <v>0</v>
      </c>
      <c r="L19" s="16">
        <v>0</v>
      </c>
      <c r="M19" s="14">
        <v>3.6296985026109999E-3</v>
      </c>
      <c r="N19" s="15">
        <v>8.5134871777725607E-3</v>
      </c>
      <c r="O19" s="15">
        <v>3.35070689951125E-2</v>
      </c>
      <c r="P19" s="15">
        <v>0</v>
      </c>
      <c r="Q19" s="15">
        <v>0</v>
      </c>
      <c r="R19" s="15">
        <v>0</v>
      </c>
      <c r="S19" s="16">
        <v>0</v>
      </c>
      <c r="U19" s="45" t="s">
        <v>12</v>
      </c>
      <c r="V19" s="9">
        <v>7.5768991849392467E-2</v>
      </c>
      <c r="X19" s="45" t="s">
        <v>12</v>
      </c>
      <c r="Y19" s="48">
        <v>2871</v>
      </c>
    </row>
    <row r="20" spans="2:25">
      <c r="B20" s="46" t="s">
        <v>13</v>
      </c>
      <c r="C20" s="10">
        <v>0</v>
      </c>
      <c r="E20" s="46" t="s">
        <v>13</v>
      </c>
      <c r="F20" s="17">
        <v>-0.05</v>
      </c>
      <c r="G20" s="18">
        <v>2.31709402209819E-3</v>
      </c>
      <c r="H20" s="18">
        <v>-9.6337620584894797E-4</v>
      </c>
      <c r="I20" s="18">
        <v>9.5719451303257402E-2</v>
      </c>
      <c r="J20" s="18">
        <v>2.5204101539552201E-2</v>
      </c>
      <c r="K20" s="18">
        <v>0</v>
      </c>
      <c r="L20" s="19">
        <v>0</v>
      </c>
      <c r="M20" s="17">
        <v>4.26355182761704E-4</v>
      </c>
      <c r="N20" s="18">
        <v>6.1308749749070298E-3</v>
      </c>
      <c r="O20" s="18">
        <v>7.4836449183538498E-3</v>
      </c>
      <c r="P20" s="18">
        <v>0</v>
      </c>
      <c r="Q20" s="18">
        <v>0</v>
      </c>
      <c r="R20" s="18">
        <v>0</v>
      </c>
      <c r="S20" s="19">
        <v>0</v>
      </c>
      <c r="U20" s="46" t="s">
        <v>13</v>
      </c>
      <c r="V20" s="10">
        <v>-0.12965937651684173</v>
      </c>
      <c r="X20" s="46" t="s">
        <v>13</v>
      </c>
      <c r="Y20" s="49">
        <v>1473</v>
      </c>
    </row>
    <row r="22" spans="2:25">
      <c r="B22" s="24" t="s">
        <v>15</v>
      </c>
      <c r="C22" s="25">
        <v>38500</v>
      </c>
      <c r="E22" s="227" t="s">
        <v>39</v>
      </c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9"/>
      <c r="V22" s="54">
        <f>Y22/V3</f>
        <v>14.342552552552553</v>
      </c>
      <c r="X22" s="53" t="s">
        <v>20</v>
      </c>
      <c r="Y22" s="51">
        <f>SUM(Y7:Y20)</f>
        <v>477607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1.51878045467599</v>
      </c>
      <c r="E25" s="1" t="s">
        <v>0</v>
      </c>
      <c r="F25" s="11">
        <v>0.34290918891870298</v>
      </c>
      <c r="G25" s="12">
        <v>0.16423602524624401</v>
      </c>
      <c r="H25" s="12">
        <v>6.2712640609646E-2</v>
      </c>
      <c r="I25" s="12">
        <v>0.36572264970714102</v>
      </c>
      <c r="J25" s="12">
        <v>0.36535014982306602</v>
      </c>
      <c r="K25" s="12">
        <v>0.16338882025226001</v>
      </c>
      <c r="L25" s="13">
        <v>4.7904302167658397E-2</v>
      </c>
      <c r="M25" s="11">
        <v>1.60094230504375E-2</v>
      </c>
      <c r="N25" s="12">
        <v>1.12830138940898E-2</v>
      </c>
      <c r="O25" s="12">
        <v>1.68229278805666E-2</v>
      </c>
      <c r="P25" s="12">
        <v>3.21399249714295E-2</v>
      </c>
      <c r="Q25" s="12">
        <v>8.3855704990413296E-2</v>
      </c>
      <c r="R25" s="12">
        <v>7.6871845331219005E-2</v>
      </c>
      <c r="S25" s="13">
        <v>7.2209697514414195E-2</v>
      </c>
    </row>
    <row r="26" spans="2:25">
      <c r="B26" s="2" t="s">
        <v>1</v>
      </c>
      <c r="C26" s="9">
        <v>1.0609337161347201</v>
      </c>
      <c r="E26" s="2" t="s">
        <v>1</v>
      </c>
      <c r="F26" s="14">
        <v>9.19475032400391E-2</v>
      </c>
      <c r="G26" s="15">
        <v>0.327374230271535</v>
      </c>
      <c r="H26" s="15">
        <v>4.15683675079149E-2</v>
      </c>
      <c r="I26" s="15">
        <v>7.6154028047043396E-2</v>
      </c>
      <c r="J26" s="15">
        <v>1.9634368755259E-2</v>
      </c>
      <c r="K26" s="15">
        <v>2.41526805660577E-2</v>
      </c>
      <c r="L26" s="16">
        <v>5.8171359160926403E-2</v>
      </c>
      <c r="M26" s="14">
        <v>3.1708912530308601E-2</v>
      </c>
      <c r="N26" s="15">
        <v>2.5552260374807199E-2</v>
      </c>
      <c r="O26" s="15">
        <v>1.89301622362744E-2</v>
      </c>
      <c r="P26" s="15">
        <v>-4.5989399694985403E-2</v>
      </c>
      <c r="Q26" s="15">
        <v>-4.31746921803252E-2</v>
      </c>
      <c r="R26" s="15">
        <v>4.6158074499946598E-2</v>
      </c>
      <c r="S26" s="16">
        <v>5.6753234879983003E-2</v>
      </c>
    </row>
    <row r="27" spans="2:25">
      <c r="B27" s="2" t="s">
        <v>2</v>
      </c>
      <c r="C27" s="9">
        <v>0.51150771852670396</v>
      </c>
      <c r="E27" s="2" t="s">
        <v>2</v>
      </c>
      <c r="F27" s="14">
        <v>6.5067782908926498E-3</v>
      </c>
      <c r="G27" s="15">
        <v>2.01343346202001E-2</v>
      </c>
      <c r="H27" s="15">
        <v>0.201700056144517</v>
      </c>
      <c r="I27" s="15">
        <v>-3.8318697444796302E-3</v>
      </c>
      <c r="J27" s="15">
        <v>-2.35319917380142E-2</v>
      </c>
      <c r="K27" s="15">
        <v>-4.9210180220441999E-3</v>
      </c>
      <c r="L27" s="16">
        <v>-1.5982733683854399E-2</v>
      </c>
      <c r="M27" s="14">
        <v>2.9324698691545899E-3</v>
      </c>
      <c r="N27" s="15">
        <v>3.6562217758992202E-3</v>
      </c>
      <c r="O27" s="15">
        <v>-1.8903609568762299E-3</v>
      </c>
      <c r="P27" s="15">
        <v>3.0005585868270599E-2</v>
      </c>
      <c r="Q27" s="15">
        <v>9.9526994719980805E-2</v>
      </c>
      <c r="R27" s="15">
        <v>1.91760887137298E-3</v>
      </c>
      <c r="S27" s="16">
        <v>-3.6364808625553502E-3</v>
      </c>
    </row>
    <row r="28" spans="2:25">
      <c r="B28" s="2" t="s">
        <v>3</v>
      </c>
      <c r="C28" s="9">
        <v>0.13294626140538701</v>
      </c>
      <c r="E28" s="2" t="s">
        <v>3</v>
      </c>
      <c r="F28" s="14">
        <v>6.6583095926289297E-3</v>
      </c>
      <c r="G28" s="15">
        <v>5.9456003485464804E-3</v>
      </c>
      <c r="H28" s="15">
        <v>5.4136263962473001E-3</v>
      </c>
      <c r="I28" s="15">
        <v>-4.5749812573497403E-2</v>
      </c>
      <c r="J28" s="15">
        <v>9.2771056865262498E-4</v>
      </c>
      <c r="K28" s="15">
        <v>0.293532844545701</v>
      </c>
      <c r="L28" s="16">
        <v>0.21227460063978301</v>
      </c>
      <c r="M28" s="14">
        <v>1.852603113978E-3</v>
      </c>
      <c r="N28" s="15">
        <v>3.8995790992995098E-3</v>
      </c>
      <c r="O28" s="15">
        <v>-2.0026374279151901E-3</v>
      </c>
      <c r="P28" s="15">
        <v>-2.5623802121329E-2</v>
      </c>
      <c r="Q28" s="15">
        <v>5.3316678159957697E-5</v>
      </c>
      <c r="R28" s="15">
        <v>8.7873805544218003E-2</v>
      </c>
      <c r="S28" s="16">
        <v>0.12544486596770599</v>
      </c>
    </row>
    <row r="29" spans="2:25">
      <c r="B29" s="2" t="s">
        <v>4</v>
      </c>
      <c r="C29" s="9">
        <v>8.5249938709489201E-2</v>
      </c>
      <c r="E29" s="2" t="s">
        <v>4</v>
      </c>
      <c r="F29" s="14">
        <v>7.3428168762472196E-4</v>
      </c>
      <c r="G29" s="15">
        <v>2.68145138660133E-3</v>
      </c>
      <c r="H29" s="15">
        <v>1.1696661238548499E-2</v>
      </c>
      <c r="I29" s="15">
        <v>-1.1890443654909301E-3</v>
      </c>
      <c r="J29" s="15">
        <v>-6.9168551419427201E-3</v>
      </c>
      <c r="K29" s="15">
        <v>-2.8292145454133599E-4</v>
      </c>
      <c r="L29" s="16">
        <v>-2.4190675601199899E-3</v>
      </c>
      <c r="M29" s="14">
        <v>4.3541973799632598E-4</v>
      </c>
      <c r="N29" s="15">
        <v>1.04071376466153E-3</v>
      </c>
      <c r="O29" s="15">
        <v>1.8776987287010599E-3</v>
      </c>
      <c r="P29" s="15">
        <v>1.6652889393492101E-2</v>
      </c>
      <c r="Q29" s="15">
        <v>1.5887867271555299E-2</v>
      </c>
      <c r="R29" s="15">
        <v>-7.4132993144363304E-4</v>
      </c>
      <c r="S29" s="16">
        <v>-2.2129469415506698E-3</v>
      </c>
    </row>
    <row r="30" spans="2:25">
      <c r="B30" s="2" t="s">
        <v>5</v>
      </c>
      <c r="C30" s="9">
        <v>0.13421815606965401</v>
      </c>
      <c r="E30" s="2" t="s">
        <v>5</v>
      </c>
      <c r="F30" s="14">
        <v>1.83208303264696E-3</v>
      </c>
      <c r="G30" s="15">
        <v>3.9578120638380397E-3</v>
      </c>
      <c r="H30" s="15">
        <v>3.5579166521506202E-2</v>
      </c>
      <c r="I30" s="15">
        <v>-5.7424980006844204E-4</v>
      </c>
      <c r="J30" s="15">
        <v>-8.3296327018268397E-3</v>
      </c>
      <c r="K30" s="15">
        <v>-3.4199993617240101E-3</v>
      </c>
      <c r="L30" s="16">
        <v>-4.8346899889139304E-3</v>
      </c>
      <c r="M30" s="14">
        <v>2.10180643715618E-4</v>
      </c>
      <c r="N30" s="15">
        <v>2.1845906385754899E-3</v>
      </c>
      <c r="O30" s="15">
        <v>-1.2105996960914201E-3</v>
      </c>
      <c r="P30" s="15">
        <v>2.14787498183973E-2</v>
      </c>
      <c r="Q30" s="15">
        <v>2.7682651146701501E-2</v>
      </c>
      <c r="R30" s="15">
        <v>-4.2001976817851498E-4</v>
      </c>
      <c r="S30" s="16">
        <v>-1.8869013839578599E-3</v>
      </c>
    </row>
    <row r="31" spans="2:25">
      <c r="B31" s="3" t="s">
        <v>6</v>
      </c>
      <c r="C31" s="10">
        <v>9.6449970484074193E-2</v>
      </c>
      <c r="E31" s="3" t="s">
        <v>6</v>
      </c>
      <c r="F31" s="17">
        <v>1.23030981709017E-3</v>
      </c>
      <c r="G31" s="18">
        <v>5.6400570088690899E-3</v>
      </c>
      <c r="H31" s="18">
        <v>7.3297327873314104E-3</v>
      </c>
      <c r="I31" s="18">
        <v>-3.94311492713379E-3</v>
      </c>
      <c r="J31" s="18">
        <v>-8.5899107052974395E-3</v>
      </c>
      <c r="K31" s="18">
        <v>-2.0471567832920099E-3</v>
      </c>
      <c r="L31" s="19">
        <v>-8.9884050067511501E-4</v>
      </c>
      <c r="M31" s="17">
        <v>-5.6080442461608798E-4</v>
      </c>
      <c r="N31" s="18">
        <v>2.0770921385372802E-3</v>
      </c>
      <c r="O31" s="18">
        <v>-1.1082373319028099E-3</v>
      </c>
      <c r="P31" s="18">
        <v>4.9233368984631397E-2</v>
      </c>
      <c r="Q31" s="18">
        <v>2.99657780679938E-2</v>
      </c>
      <c r="R31" s="18">
        <v>-3.9206860755547097E-3</v>
      </c>
      <c r="S31" s="19">
        <v>9.2188464516626802E-5</v>
      </c>
    </row>
    <row r="32" spans="2:25">
      <c r="B32" s="1" t="s">
        <v>7</v>
      </c>
      <c r="C32" s="8">
        <v>1.4828671095071</v>
      </c>
      <c r="E32" s="1" t="s">
        <v>7</v>
      </c>
      <c r="F32" s="11">
        <v>1.5383192486147401E-2</v>
      </c>
      <c r="G32" s="12">
        <v>1.16132993025244E-2</v>
      </c>
      <c r="H32" s="12">
        <v>1.4300978263131901E-2</v>
      </c>
      <c r="I32" s="12">
        <v>2.28952673552262E-2</v>
      </c>
      <c r="J32" s="12">
        <v>7.8130432818749304E-2</v>
      </c>
      <c r="K32" s="12">
        <v>6.9627994041383701E-2</v>
      </c>
      <c r="L32" s="13">
        <v>5.5071100481073602E-2</v>
      </c>
      <c r="M32" s="11">
        <v>0.34049348468739599</v>
      </c>
      <c r="N32" s="12">
        <v>0.16339375858194899</v>
      </c>
      <c r="O32" s="12">
        <v>6.5933675398837793E-2</v>
      </c>
      <c r="P32" s="12">
        <v>0.35325719458858001</v>
      </c>
      <c r="Q32" s="12">
        <v>0.33388265710106302</v>
      </c>
      <c r="R32" s="12">
        <v>0.155435776974679</v>
      </c>
      <c r="S32" s="13">
        <v>6.4105953398246998E-2</v>
      </c>
    </row>
    <row r="33" spans="2:26">
      <c r="B33" s="2" t="s">
        <v>8</v>
      </c>
      <c r="C33" s="9">
        <v>1.09488886432123</v>
      </c>
      <c r="E33" s="2" t="s">
        <v>8</v>
      </c>
      <c r="F33" s="14">
        <v>2.9380462991380699E-2</v>
      </c>
      <c r="G33" s="15">
        <v>2.80987470351753E-2</v>
      </c>
      <c r="H33" s="15">
        <v>2.0915047773490798E-2</v>
      </c>
      <c r="I33" s="15">
        <v>-4.1338347684309697E-2</v>
      </c>
      <c r="J33" s="15">
        <v>-4.0249533350319701E-2</v>
      </c>
      <c r="K33" s="15">
        <v>2.9085156190909098E-2</v>
      </c>
      <c r="L33" s="16">
        <v>6.5260339814804003E-2</v>
      </c>
      <c r="M33" s="14">
        <v>9.0577266248633007E-2</v>
      </c>
      <c r="N33" s="15">
        <v>0.32953092945978102</v>
      </c>
      <c r="O33" s="15">
        <v>4.0762039145847598E-2</v>
      </c>
      <c r="P33" s="15">
        <v>8.1384300057729703E-2</v>
      </c>
      <c r="Q33" s="15">
        <v>3.1344286342676601E-2</v>
      </c>
      <c r="R33" s="15">
        <v>3.7009666841773203E-2</v>
      </c>
      <c r="S33" s="16">
        <v>3.9782442538881198E-2</v>
      </c>
    </row>
    <row r="34" spans="2:26">
      <c r="B34" s="2" t="s">
        <v>9</v>
      </c>
      <c r="C34" s="9">
        <v>0.499086972197469</v>
      </c>
      <c r="E34" s="2" t="s">
        <v>9</v>
      </c>
      <c r="F34" s="14">
        <v>3.3039268542810999E-3</v>
      </c>
      <c r="G34" s="15">
        <v>3.9563700985586203E-3</v>
      </c>
      <c r="H34" s="15">
        <v>-1.40582381833015E-3</v>
      </c>
      <c r="I34" s="15">
        <v>2.9204133087462E-2</v>
      </c>
      <c r="J34" s="15">
        <v>9.3273394498177106E-2</v>
      </c>
      <c r="K34" s="15">
        <v>-1.86739517204689E-3</v>
      </c>
      <c r="L34" s="16">
        <v>-2.8236843902308601E-3</v>
      </c>
      <c r="M34" s="14">
        <v>8.3022969830123892E-3</v>
      </c>
      <c r="N34" s="15">
        <v>1.92274521616131E-2</v>
      </c>
      <c r="O34" s="15">
        <v>0.223611626935795</v>
      </c>
      <c r="P34" s="15">
        <v>-5.0965317621417903E-3</v>
      </c>
      <c r="Q34" s="15">
        <v>-2.7428830052050199E-2</v>
      </c>
      <c r="R34" s="15">
        <v>1.9447800669093701E-3</v>
      </c>
      <c r="S34" s="16">
        <v>-2.1623454921797299E-2</v>
      </c>
    </row>
    <row r="35" spans="2:26">
      <c r="B35" s="2" t="s">
        <v>10</v>
      </c>
      <c r="C35" s="9">
        <v>0.13734565198507301</v>
      </c>
      <c r="E35" s="2" t="s">
        <v>10</v>
      </c>
      <c r="F35" s="14">
        <v>1.9889598950882802E-3</v>
      </c>
      <c r="G35" s="15">
        <v>4.2062850823392202E-3</v>
      </c>
      <c r="H35" s="15">
        <v>-1.11642431611279E-3</v>
      </c>
      <c r="I35" s="15">
        <v>-2.51516115049196E-2</v>
      </c>
      <c r="J35" s="15">
        <v>-4.4794247516823198E-3</v>
      </c>
      <c r="K35" s="15">
        <v>9.8827456236635303E-2</v>
      </c>
      <c r="L35" s="16">
        <v>0.12446387549358801</v>
      </c>
      <c r="M35" s="14">
        <v>5.5296339103878397E-3</v>
      </c>
      <c r="N35" s="15">
        <v>7.2267742091874799E-3</v>
      </c>
      <c r="O35" s="15">
        <v>6.0280852769722297E-3</v>
      </c>
      <c r="P35" s="15">
        <v>-4.4922728470797403E-2</v>
      </c>
      <c r="Q35" s="15">
        <v>-4.6717363066616597E-3</v>
      </c>
      <c r="R35" s="15">
        <v>0.28647216251212898</v>
      </c>
      <c r="S35" s="16">
        <v>0.24249741720243601</v>
      </c>
    </row>
    <row r="36" spans="2:26">
      <c r="B36" s="2" t="s">
        <v>11</v>
      </c>
      <c r="C36" s="9">
        <v>8.6727346929179203E-2</v>
      </c>
      <c r="E36" s="2" t="s">
        <v>11</v>
      </c>
      <c r="F36" s="14">
        <v>2.6970043490546401E-4</v>
      </c>
      <c r="G36" s="15">
        <v>8.5631029315254899E-4</v>
      </c>
      <c r="H36" s="15">
        <v>-4.6916488072681201E-4</v>
      </c>
      <c r="I36" s="15">
        <v>2.1677143632677899E-2</v>
      </c>
      <c r="J36" s="15">
        <v>1.4640814953949701E-2</v>
      </c>
      <c r="K36" s="15">
        <v>-1.4988455404217301E-4</v>
      </c>
      <c r="L36" s="16">
        <v>-2.8686260956249602E-3</v>
      </c>
      <c r="M36" s="14">
        <v>8.9549263289976299E-4</v>
      </c>
      <c r="N36" s="15">
        <v>1.56846288612631E-3</v>
      </c>
      <c r="O36" s="15">
        <v>1.2401404514744E-2</v>
      </c>
      <c r="P36" s="15">
        <v>-5.5829974518071504E-4</v>
      </c>
      <c r="Q36" s="15">
        <v>5.5641820939758002E-3</v>
      </c>
      <c r="R36" s="15">
        <v>-4.6081047525570803E-4</v>
      </c>
      <c r="S36" s="16">
        <v>-3.4115568056548601E-3</v>
      </c>
    </row>
    <row r="37" spans="2:26">
      <c r="B37" s="2" t="s">
        <v>12</v>
      </c>
      <c r="C37" s="9">
        <v>0.13193729779494401</v>
      </c>
      <c r="E37" s="2" t="s">
        <v>12</v>
      </c>
      <c r="F37" s="14">
        <v>-2.4502598103599702E-4</v>
      </c>
      <c r="G37" s="15">
        <v>2.4127587815631099E-3</v>
      </c>
      <c r="H37" s="15">
        <v>-3.9310549530776798E-4</v>
      </c>
      <c r="I37" s="15">
        <v>1.9063161470022901E-2</v>
      </c>
      <c r="J37" s="15">
        <v>1.44899973748453E-2</v>
      </c>
      <c r="K37" s="15">
        <v>-2.0375895958738501E-3</v>
      </c>
      <c r="L37" s="16">
        <v>-3.3970123983393802E-3</v>
      </c>
      <c r="M37" s="14">
        <v>1.8148492513055E-3</v>
      </c>
      <c r="N37" s="15">
        <v>4.2567435888862803E-3</v>
      </c>
      <c r="O37" s="15">
        <v>3.35070689951125E-2</v>
      </c>
      <c r="P37" s="15">
        <v>-2.0081131500283601E-3</v>
      </c>
      <c r="Q37" s="15">
        <v>-2.93825814683394E-3</v>
      </c>
      <c r="R37" s="15">
        <v>-1.3650191412132599E-3</v>
      </c>
      <c r="S37" s="16">
        <v>-4.81753257590899E-3</v>
      </c>
    </row>
    <row r="38" spans="2:26">
      <c r="B38" s="3" t="s">
        <v>13</v>
      </c>
      <c r="C38" s="10">
        <v>3.3387290187160398E-2</v>
      </c>
      <c r="E38" s="3" t="s">
        <v>13</v>
      </c>
      <c r="F38" s="17">
        <v>-5.4837373356472297E-4</v>
      </c>
      <c r="G38" s="18">
        <v>2.31709402209819E-3</v>
      </c>
      <c r="H38" s="18">
        <v>-9.6337620584894797E-4</v>
      </c>
      <c r="I38" s="18">
        <v>4.7859725651628701E-2</v>
      </c>
      <c r="J38" s="18">
        <v>1.2602050769776101E-2</v>
      </c>
      <c r="K38" s="18">
        <v>-4.48341518156283E-3</v>
      </c>
      <c r="L38" s="19">
        <v>6.6768650694746202E-3</v>
      </c>
      <c r="M38" s="17">
        <v>4.26355182761704E-4</v>
      </c>
      <c r="N38" s="18">
        <v>6.1308749749070298E-3</v>
      </c>
      <c r="O38" s="18">
        <v>7.4836449183538498E-3</v>
      </c>
      <c r="P38" s="18">
        <v>-5.2673101410404704E-4</v>
      </c>
      <c r="Q38" s="18">
        <v>-4.49498671140907E-3</v>
      </c>
      <c r="R38" s="18">
        <v>-1.50001419227603E-3</v>
      </c>
      <c r="S38" s="19">
        <v>-5.5762335056275397E-3</v>
      </c>
    </row>
    <row r="41" spans="2:26">
      <c r="E41" s="227" t="s">
        <v>33</v>
      </c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9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50138</v>
      </c>
      <c r="G44" s="56">
        <v>22246</v>
      </c>
      <c r="H44" s="56">
        <v>6396</v>
      </c>
      <c r="I44" s="56">
        <v>2243</v>
      </c>
      <c r="J44" s="56">
        <v>699</v>
      </c>
      <c r="K44" s="56">
        <v>679</v>
      </c>
      <c r="L44" s="57">
        <v>234</v>
      </c>
      <c r="M44" s="55">
        <v>16104</v>
      </c>
      <c r="N44" s="56">
        <v>11025</v>
      </c>
      <c r="O44" s="56">
        <v>4949</v>
      </c>
      <c r="P44" s="56">
        <v>704</v>
      </c>
      <c r="Q44" s="56">
        <v>243</v>
      </c>
      <c r="R44" s="56">
        <v>407</v>
      </c>
      <c r="S44" s="57">
        <v>292</v>
      </c>
      <c r="Y44" s="52" t="s">
        <v>37</v>
      </c>
      <c r="Z44" s="50">
        <f>Y22</f>
        <v>477607</v>
      </c>
    </row>
    <row r="45" spans="2:26">
      <c r="E45" s="45" t="s">
        <v>1</v>
      </c>
      <c r="F45" s="58">
        <v>21468</v>
      </c>
      <c r="G45" s="59">
        <v>28011</v>
      </c>
      <c r="H45" s="59">
        <v>4466</v>
      </c>
      <c r="I45" s="59">
        <v>760</v>
      </c>
      <c r="J45" s="59">
        <v>167</v>
      </c>
      <c r="K45" s="59">
        <v>267</v>
      </c>
      <c r="L45" s="60">
        <v>199</v>
      </c>
      <c r="M45" s="58">
        <v>12980</v>
      </c>
      <c r="N45" s="59">
        <v>8728</v>
      </c>
      <c r="O45" s="59">
        <v>3634</v>
      </c>
      <c r="P45" s="59">
        <v>267</v>
      </c>
      <c r="Q45" s="59">
        <v>76</v>
      </c>
      <c r="R45" s="59">
        <v>295</v>
      </c>
      <c r="S45" s="60">
        <v>177</v>
      </c>
      <c r="Y45" s="52" t="s">
        <v>24</v>
      </c>
      <c r="Z45" s="50">
        <f>SUM(Y9,Y11:Y12,Y16,Y18:Y19)</f>
        <v>68700</v>
      </c>
    </row>
    <row r="46" spans="2:26">
      <c r="E46" s="45" t="s">
        <v>2</v>
      </c>
      <c r="F46" s="58">
        <v>6268</v>
      </c>
      <c r="G46" s="59">
        <v>4878</v>
      </c>
      <c r="H46" s="59">
        <v>6866</v>
      </c>
      <c r="I46" s="59">
        <v>121</v>
      </c>
      <c r="J46" s="59">
        <v>43</v>
      </c>
      <c r="K46" s="59">
        <v>112</v>
      </c>
      <c r="L46" s="60">
        <v>50</v>
      </c>
      <c r="M46" s="58">
        <v>5489</v>
      </c>
      <c r="N46" s="59">
        <v>3797</v>
      </c>
      <c r="O46" s="59">
        <v>1721</v>
      </c>
      <c r="P46" s="59">
        <v>262</v>
      </c>
      <c r="Q46" s="59">
        <v>149</v>
      </c>
      <c r="R46" s="59">
        <v>57</v>
      </c>
      <c r="S46" s="60">
        <v>27</v>
      </c>
      <c r="Y46" s="52" t="s">
        <v>30</v>
      </c>
      <c r="Z46" s="50">
        <v>29054</v>
      </c>
    </row>
    <row r="47" spans="2:26">
      <c r="E47" s="45" t="s">
        <v>3</v>
      </c>
      <c r="F47" s="58">
        <v>1193</v>
      </c>
      <c r="G47" s="59">
        <v>668</v>
      </c>
      <c r="H47" s="59">
        <v>188</v>
      </c>
      <c r="I47" s="59">
        <v>283</v>
      </c>
      <c r="J47" s="59">
        <v>11</v>
      </c>
      <c r="K47" s="59">
        <v>739</v>
      </c>
      <c r="L47" s="60">
        <v>330</v>
      </c>
      <c r="M47" s="58">
        <v>620</v>
      </c>
      <c r="N47" s="59">
        <v>499</v>
      </c>
      <c r="O47" s="59">
        <v>47</v>
      </c>
      <c r="P47" s="59">
        <v>183</v>
      </c>
      <c r="Q47" s="59">
        <v>10</v>
      </c>
      <c r="R47" s="59">
        <v>241</v>
      </c>
      <c r="S47" s="60">
        <v>177</v>
      </c>
      <c r="Y47" s="52" t="s">
        <v>28</v>
      </c>
      <c r="Z47" s="50">
        <v>46212</v>
      </c>
    </row>
    <row r="48" spans="2:26">
      <c r="E48" s="45" t="s">
        <v>4</v>
      </c>
      <c r="F48" s="58">
        <v>232</v>
      </c>
      <c r="G48" s="59">
        <v>390</v>
      </c>
      <c r="H48" s="59">
        <v>304</v>
      </c>
      <c r="I48" s="59">
        <v>10</v>
      </c>
      <c r="J48" s="59">
        <v>7</v>
      </c>
      <c r="K48" s="59">
        <v>14</v>
      </c>
      <c r="L48" s="60">
        <v>6</v>
      </c>
      <c r="M48" s="58">
        <v>190</v>
      </c>
      <c r="N48" s="59">
        <v>209</v>
      </c>
      <c r="O48" s="59">
        <v>62</v>
      </c>
      <c r="P48" s="59">
        <v>91</v>
      </c>
      <c r="Q48" s="59">
        <v>22</v>
      </c>
      <c r="R48" s="59">
        <v>4</v>
      </c>
      <c r="S48" s="60">
        <v>5</v>
      </c>
      <c r="Y48" s="52" t="s">
        <v>31</v>
      </c>
      <c r="Z48" s="78">
        <f>Z47/Z46</f>
        <v>1.5905555173125903</v>
      </c>
    </row>
    <row r="49" spans="5:26">
      <c r="E49" s="45" t="s">
        <v>5</v>
      </c>
      <c r="F49" s="58">
        <v>526</v>
      </c>
      <c r="G49" s="59">
        <v>570</v>
      </c>
      <c r="H49" s="59">
        <v>937</v>
      </c>
      <c r="I49" s="59">
        <v>14</v>
      </c>
      <c r="J49" s="59">
        <v>3</v>
      </c>
      <c r="K49" s="59">
        <v>20</v>
      </c>
      <c r="L49" s="60">
        <v>11</v>
      </c>
      <c r="M49" s="58">
        <v>204</v>
      </c>
      <c r="N49" s="59">
        <v>364</v>
      </c>
      <c r="O49" s="59">
        <v>17</v>
      </c>
      <c r="P49" s="59">
        <v>116</v>
      </c>
      <c r="Q49" s="59">
        <v>37</v>
      </c>
      <c r="R49" s="59">
        <v>5</v>
      </c>
      <c r="S49" s="60">
        <v>4</v>
      </c>
      <c r="Y49" s="52" t="s">
        <v>29</v>
      </c>
      <c r="Z49" s="79">
        <v>1.1426998003717216E-2</v>
      </c>
    </row>
    <row r="50" spans="5:26">
      <c r="E50" s="46" t="s">
        <v>6</v>
      </c>
      <c r="F50" s="61">
        <v>221</v>
      </c>
      <c r="G50" s="62">
        <v>362</v>
      </c>
      <c r="H50" s="62">
        <v>230</v>
      </c>
      <c r="I50" s="62">
        <v>17</v>
      </c>
      <c r="J50" s="62">
        <v>8</v>
      </c>
      <c r="K50" s="62">
        <v>10</v>
      </c>
      <c r="L50" s="63">
        <v>17</v>
      </c>
      <c r="M50" s="61">
        <v>186</v>
      </c>
      <c r="N50" s="62">
        <v>196</v>
      </c>
      <c r="O50" s="62">
        <v>4</v>
      </c>
      <c r="P50" s="62">
        <v>269</v>
      </c>
      <c r="Q50" s="62">
        <v>39</v>
      </c>
      <c r="R50" s="62">
        <v>5</v>
      </c>
      <c r="S50" s="63">
        <v>2</v>
      </c>
      <c r="Y50" s="52" t="s">
        <v>32</v>
      </c>
      <c r="Z50" s="50">
        <f>Z46*Z49</f>
        <v>332</v>
      </c>
    </row>
    <row r="51" spans="5:26">
      <c r="E51" s="44" t="s">
        <v>7</v>
      </c>
      <c r="F51" s="64">
        <v>16094</v>
      </c>
      <c r="G51" s="65">
        <v>10315</v>
      </c>
      <c r="H51" s="65">
        <v>4788</v>
      </c>
      <c r="I51" s="65">
        <v>635</v>
      </c>
      <c r="J51" s="65">
        <v>274</v>
      </c>
      <c r="K51" s="65">
        <v>418</v>
      </c>
      <c r="L51" s="66">
        <v>281</v>
      </c>
      <c r="M51" s="64">
        <v>48399</v>
      </c>
      <c r="N51" s="65">
        <v>22441</v>
      </c>
      <c r="O51" s="65">
        <v>6254</v>
      </c>
      <c r="P51" s="65">
        <v>2208</v>
      </c>
      <c r="Q51" s="65">
        <v>498</v>
      </c>
      <c r="R51" s="65">
        <v>643</v>
      </c>
      <c r="S51" s="66">
        <v>250</v>
      </c>
      <c r="Y51" s="52" t="s">
        <v>27</v>
      </c>
      <c r="Z51" s="74">
        <v>0.11310880391660336</v>
      </c>
    </row>
    <row r="52" spans="5:26">
      <c r="E52" s="45" t="s">
        <v>8</v>
      </c>
      <c r="F52" s="67">
        <v>13386</v>
      </c>
      <c r="G52" s="68">
        <v>9136</v>
      </c>
      <c r="H52" s="68">
        <v>3846</v>
      </c>
      <c r="I52" s="68">
        <v>292</v>
      </c>
      <c r="J52" s="68">
        <v>104</v>
      </c>
      <c r="K52" s="68">
        <v>248</v>
      </c>
      <c r="L52" s="69">
        <v>199</v>
      </c>
      <c r="M52" s="67">
        <v>21152</v>
      </c>
      <c r="N52" s="68">
        <v>29619</v>
      </c>
      <c r="O52" s="68">
        <v>4575</v>
      </c>
      <c r="P52" s="68">
        <v>793</v>
      </c>
      <c r="Q52" s="68">
        <v>127</v>
      </c>
      <c r="R52" s="68">
        <v>312</v>
      </c>
      <c r="S52" s="69">
        <v>171</v>
      </c>
      <c r="Y52" s="52" t="s">
        <v>22</v>
      </c>
      <c r="Z52" s="74">
        <v>1.7478613784388062</v>
      </c>
    </row>
    <row r="53" spans="5:26">
      <c r="E53" s="45" t="s">
        <v>9</v>
      </c>
      <c r="F53" s="67">
        <v>5623</v>
      </c>
      <c r="G53" s="68">
        <v>3658</v>
      </c>
      <c r="H53" s="68">
        <v>1767</v>
      </c>
      <c r="I53" s="68">
        <v>208</v>
      </c>
      <c r="J53" s="68">
        <v>147</v>
      </c>
      <c r="K53" s="68">
        <v>51</v>
      </c>
      <c r="L53" s="69">
        <v>29</v>
      </c>
      <c r="M53" s="67">
        <v>6187</v>
      </c>
      <c r="N53" s="68">
        <v>4932</v>
      </c>
      <c r="O53" s="68">
        <v>7428</v>
      </c>
      <c r="P53" s="68">
        <v>107</v>
      </c>
      <c r="Q53" s="68">
        <v>50</v>
      </c>
      <c r="R53" s="68">
        <v>119</v>
      </c>
      <c r="S53" s="69">
        <v>36</v>
      </c>
      <c r="Y53" s="52" t="s">
        <v>23</v>
      </c>
      <c r="Z53" s="73">
        <v>3622</v>
      </c>
    </row>
    <row r="54" spans="5:26">
      <c r="E54" s="45" t="s">
        <v>10</v>
      </c>
      <c r="F54" s="67">
        <v>646</v>
      </c>
      <c r="G54" s="68">
        <v>535</v>
      </c>
      <c r="H54" s="68">
        <v>33</v>
      </c>
      <c r="I54" s="68">
        <v>177</v>
      </c>
      <c r="J54" s="68">
        <v>14</v>
      </c>
      <c r="K54" s="68">
        <v>264</v>
      </c>
      <c r="L54" s="69">
        <v>205</v>
      </c>
      <c r="M54" s="67">
        <v>1062</v>
      </c>
      <c r="N54" s="68">
        <v>802</v>
      </c>
      <c r="O54" s="68">
        <v>231</v>
      </c>
      <c r="P54" s="68">
        <v>327</v>
      </c>
      <c r="Q54" s="68">
        <v>3</v>
      </c>
      <c r="R54" s="68">
        <v>752</v>
      </c>
      <c r="S54" s="69">
        <v>316</v>
      </c>
      <c r="Y54" s="52" t="s">
        <v>25</v>
      </c>
      <c r="Z54" s="75">
        <f>Z53/(Y10+Y17)</f>
        <v>0.34312239484653279</v>
      </c>
    </row>
    <row r="55" spans="5:26">
      <c r="E55" s="45" t="s">
        <v>11</v>
      </c>
      <c r="F55" s="67">
        <v>166</v>
      </c>
      <c r="G55" s="68">
        <v>136</v>
      </c>
      <c r="H55" s="68">
        <v>5</v>
      </c>
      <c r="I55" s="68">
        <v>102</v>
      </c>
      <c r="J55" s="68">
        <v>20</v>
      </c>
      <c r="K55" s="68">
        <v>1</v>
      </c>
      <c r="L55" s="69">
        <v>2</v>
      </c>
      <c r="M55" s="67">
        <v>256</v>
      </c>
      <c r="N55" s="68">
        <v>234</v>
      </c>
      <c r="O55" s="68">
        <v>333</v>
      </c>
      <c r="P55" s="68">
        <v>7</v>
      </c>
      <c r="Q55" s="68">
        <v>2</v>
      </c>
      <c r="R55" s="68">
        <v>5</v>
      </c>
      <c r="S55" s="69">
        <v>3</v>
      </c>
    </row>
    <row r="56" spans="5:26">
      <c r="E56" s="45" t="s">
        <v>12</v>
      </c>
      <c r="F56" s="67">
        <v>215</v>
      </c>
      <c r="G56" s="68">
        <v>403</v>
      </c>
      <c r="H56" s="68">
        <v>12</v>
      </c>
      <c r="I56" s="68">
        <v>105</v>
      </c>
      <c r="J56" s="68">
        <v>24</v>
      </c>
      <c r="K56" s="68">
        <v>3</v>
      </c>
      <c r="L56" s="69">
        <v>3</v>
      </c>
      <c r="M56" s="67">
        <v>507</v>
      </c>
      <c r="N56" s="68">
        <v>668</v>
      </c>
      <c r="O56" s="68">
        <v>882</v>
      </c>
      <c r="P56" s="68">
        <v>21</v>
      </c>
      <c r="Q56" s="68">
        <v>7</v>
      </c>
      <c r="R56" s="68">
        <v>14</v>
      </c>
      <c r="S56" s="69">
        <v>7</v>
      </c>
    </row>
    <row r="57" spans="5:26">
      <c r="E57" s="46" t="s">
        <v>13</v>
      </c>
      <c r="F57" s="70">
        <v>183</v>
      </c>
      <c r="G57" s="71">
        <v>187</v>
      </c>
      <c r="H57" s="71">
        <v>2</v>
      </c>
      <c r="I57" s="71">
        <v>222</v>
      </c>
      <c r="J57" s="71">
        <v>25</v>
      </c>
      <c r="K57" s="71">
        <v>2</v>
      </c>
      <c r="L57" s="72"/>
      <c r="M57" s="70">
        <v>161</v>
      </c>
      <c r="N57" s="71">
        <v>446</v>
      </c>
      <c r="O57" s="71">
        <v>206</v>
      </c>
      <c r="P57" s="71">
        <v>12</v>
      </c>
      <c r="Q57" s="71">
        <v>9</v>
      </c>
      <c r="R57" s="71">
        <v>12</v>
      </c>
      <c r="S57" s="72">
        <v>6</v>
      </c>
    </row>
    <row r="59" spans="5:26">
      <c r="E59" s="227" t="s">
        <v>34</v>
      </c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9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89">
        <v>53506</v>
      </c>
      <c r="G62" s="90">
        <v>21886</v>
      </c>
      <c r="H62" s="91">
        <v>4950</v>
      </c>
      <c r="I62" s="92">
        <v>2834</v>
      </c>
      <c r="J62" s="93">
        <v>544</v>
      </c>
      <c r="K62" s="94">
        <v>750</v>
      </c>
      <c r="L62" s="95">
        <v>320</v>
      </c>
      <c r="M62" s="96">
        <v>12281</v>
      </c>
      <c r="N62" s="97">
        <v>10079</v>
      </c>
      <c r="O62" s="98">
        <v>3780</v>
      </c>
      <c r="P62" s="99">
        <v>784</v>
      </c>
      <c r="Q62" s="100">
        <v>230</v>
      </c>
      <c r="R62" s="98">
        <v>432</v>
      </c>
      <c r="S62" s="95">
        <v>318</v>
      </c>
      <c r="U62" s="44" t="s">
        <v>0</v>
      </c>
      <c r="V62" s="8">
        <f>Y62/V$3</f>
        <v>3.3842042042042042</v>
      </c>
      <c r="X62" s="44" t="s">
        <v>0</v>
      </c>
      <c r="Y62" s="47">
        <f>SUM(F62:S62)</f>
        <v>112694</v>
      </c>
    </row>
    <row r="63" spans="5:26">
      <c r="E63" s="204" t="s">
        <v>1</v>
      </c>
      <c r="F63" s="101">
        <v>21244</v>
      </c>
      <c r="G63" s="102">
        <v>31499</v>
      </c>
      <c r="H63" s="103">
        <v>3666</v>
      </c>
      <c r="I63" s="104">
        <v>1066</v>
      </c>
      <c r="J63" s="105">
        <v>303</v>
      </c>
      <c r="K63" s="106">
        <v>879</v>
      </c>
      <c r="L63" s="107">
        <v>510</v>
      </c>
      <c r="M63" s="108">
        <v>12412</v>
      </c>
      <c r="N63" s="109">
        <v>6252</v>
      </c>
      <c r="O63" s="105">
        <v>1488</v>
      </c>
      <c r="P63" s="110"/>
      <c r="Q63" s="110"/>
      <c r="R63" s="111">
        <v>294</v>
      </c>
      <c r="S63" s="112">
        <v>226</v>
      </c>
      <c r="U63" s="45" t="s">
        <v>1</v>
      </c>
      <c r="V63" s="9">
        <f t="shared" ref="V63:V75" si="0">Y63/V$3</f>
        <v>2.3975675675675676</v>
      </c>
      <c r="X63" s="45" t="s">
        <v>1</v>
      </c>
      <c r="Y63" s="48">
        <f t="shared" ref="Y63:Y75" si="1">SUM(F63:S63)</f>
        <v>79839</v>
      </c>
    </row>
    <row r="64" spans="5:26">
      <c r="E64" s="204" t="s">
        <v>2</v>
      </c>
      <c r="F64" s="113">
        <v>5227</v>
      </c>
      <c r="G64" s="114">
        <v>3878</v>
      </c>
      <c r="H64" s="103">
        <v>6738</v>
      </c>
      <c r="I64" s="115">
        <v>55</v>
      </c>
      <c r="J64" s="116">
        <v>21</v>
      </c>
      <c r="K64" s="117">
        <v>158</v>
      </c>
      <c r="L64" s="118">
        <v>13</v>
      </c>
      <c r="M64" s="119">
        <v>4468</v>
      </c>
      <c r="N64" s="120">
        <v>2130</v>
      </c>
      <c r="O64" s="121">
        <v>743</v>
      </c>
      <c r="P64" s="122">
        <v>240</v>
      </c>
      <c r="Q64" s="123">
        <v>208</v>
      </c>
      <c r="R64" s="124">
        <v>14</v>
      </c>
      <c r="S64" s="125">
        <v>15</v>
      </c>
      <c r="U64" s="45" t="s">
        <v>2</v>
      </c>
      <c r="V64" s="9">
        <f t="shared" si="0"/>
        <v>0.71795795795795792</v>
      </c>
      <c r="X64" s="45" t="s">
        <v>2</v>
      </c>
      <c r="Y64" s="48">
        <f t="shared" si="1"/>
        <v>23908</v>
      </c>
    </row>
    <row r="65" spans="5:25">
      <c r="E65" s="204" t="s">
        <v>3</v>
      </c>
      <c r="F65" s="119">
        <v>1151</v>
      </c>
      <c r="G65" s="103">
        <v>982</v>
      </c>
      <c r="H65" s="126">
        <v>241</v>
      </c>
      <c r="I65" s="127">
        <v>1</v>
      </c>
      <c r="J65" s="110"/>
      <c r="K65" s="111">
        <v>1072</v>
      </c>
      <c r="L65" s="128">
        <v>414</v>
      </c>
      <c r="M65" s="129">
        <v>602</v>
      </c>
      <c r="N65" s="114">
        <v>796</v>
      </c>
      <c r="O65" s="130">
        <v>55</v>
      </c>
      <c r="P65" s="131">
        <v>5</v>
      </c>
      <c r="Q65" s="110"/>
      <c r="R65" s="132">
        <v>446</v>
      </c>
      <c r="S65" s="112">
        <v>367</v>
      </c>
      <c r="U65" s="45" t="s">
        <v>3</v>
      </c>
      <c r="V65" s="9">
        <f t="shared" si="0"/>
        <v>0.18414414414414415</v>
      </c>
      <c r="X65" s="45" t="s">
        <v>3</v>
      </c>
      <c r="Y65" s="48">
        <f t="shared" si="1"/>
        <v>6132</v>
      </c>
    </row>
    <row r="66" spans="5:25">
      <c r="E66" s="204" t="s">
        <v>4</v>
      </c>
      <c r="F66" s="133">
        <v>249</v>
      </c>
      <c r="G66" s="134">
        <v>285</v>
      </c>
      <c r="H66" s="135">
        <v>420</v>
      </c>
      <c r="I66" s="116">
        <v>1</v>
      </c>
      <c r="J66" s="110"/>
      <c r="K66" s="110"/>
      <c r="L66" s="136"/>
      <c r="M66" s="137">
        <v>170</v>
      </c>
      <c r="N66" s="138">
        <v>127</v>
      </c>
      <c r="O66" s="116">
        <v>14</v>
      </c>
      <c r="P66" s="115">
        <v>152</v>
      </c>
      <c r="Q66" s="127">
        <v>46</v>
      </c>
      <c r="R66" s="127"/>
      <c r="S66" s="136"/>
      <c r="U66" s="45" t="s">
        <v>4</v>
      </c>
      <c r="V66" s="9">
        <f t="shared" si="0"/>
        <v>4.3963963963963966E-2</v>
      </c>
      <c r="X66" s="45" t="s">
        <v>4</v>
      </c>
      <c r="Y66" s="48">
        <f t="shared" si="1"/>
        <v>1464</v>
      </c>
    </row>
    <row r="67" spans="5:25">
      <c r="E67" s="204" t="s">
        <v>5</v>
      </c>
      <c r="F67" s="129">
        <v>741</v>
      </c>
      <c r="G67" s="139">
        <v>956</v>
      </c>
      <c r="H67" s="111">
        <v>1072</v>
      </c>
      <c r="I67" s="140">
        <v>3</v>
      </c>
      <c r="J67" s="110"/>
      <c r="K67" s="127">
        <v>1</v>
      </c>
      <c r="L67" s="136"/>
      <c r="M67" s="141">
        <v>332</v>
      </c>
      <c r="N67" s="106">
        <v>421</v>
      </c>
      <c r="O67" s="142">
        <v>46</v>
      </c>
      <c r="P67" s="111">
        <v>427</v>
      </c>
      <c r="Q67" s="143">
        <v>119</v>
      </c>
      <c r="R67" s="110"/>
      <c r="S67" s="136"/>
      <c r="U67" s="45" t="s">
        <v>5</v>
      </c>
      <c r="V67" s="9">
        <f t="shared" si="0"/>
        <v>0.12366366366366366</v>
      </c>
      <c r="X67" s="45" t="s">
        <v>5</v>
      </c>
      <c r="Y67" s="48">
        <f t="shared" si="1"/>
        <v>4118</v>
      </c>
    </row>
    <row r="68" spans="5:25">
      <c r="E68" s="205" t="s">
        <v>6</v>
      </c>
      <c r="F68" s="144">
        <v>358</v>
      </c>
      <c r="G68" s="145">
        <v>595</v>
      </c>
      <c r="H68" s="146">
        <v>289</v>
      </c>
      <c r="I68" s="147"/>
      <c r="J68" s="148">
        <v>2</v>
      </c>
      <c r="K68" s="147">
        <v>1</v>
      </c>
      <c r="L68" s="149">
        <v>1</v>
      </c>
      <c r="M68" s="147"/>
      <c r="N68" s="150">
        <v>324</v>
      </c>
      <c r="O68" s="151">
        <v>6</v>
      </c>
      <c r="P68" s="152">
        <v>592</v>
      </c>
      <c r="Q68" s="153">
        <v>76</v>
      </c>
      <c r="R68" s="148"/>
      <c r="S68" s="149"/>
      <c r="U68" s="46" t="s">
        <v>6</v>
      </c>
      <c r="V68" s="10">
        <f t="shared" si="0"/>
        <v>6.7387387387387393E-2</v>
      </c>
      <c r="X68" s="46" t="s">
        <v>6</v>
      </c>
      <c r="Y68" s="49">
        <f t="shared" si="1"/>
        <v>2244</v>
      </c>
    </row>
    <row r="69" spans="5:25">
      <c r="E69" s="204" t="s">
        <v>7</v>
      </c>
      <c r="F69" s="154">
        <v>12115</v>
      </c>
      <c r="G69" s="155">
        <v>9732</v>
      </c>
      <c r="H69" s="94">
        <v>4008</v>
      </c>
      <c r="I69" s="99">
        <v>704</v>
      </c>
      <c r="J69" s="156">
        <v>219</v>
      </c>
      <c r="K69" s="98">
        <v>421</v>
      </c>
      <c r="L69" s="157">
        <v>298</v>
      </c>
      <c r="M69" s="158">
        <v>51684</v>
      </c>
      <c r="N69" s="90">
        <v>21948</v>
      </c>
      <c r="O69" s="159">
        <v>4803</v>
      </c>
      <c r="P69" s="160">
        <v>2855</v>
      </c>
      <c r="Q69" s="161">
        <v>547</v>
      </c>
      <c r="R69" s="162">
        <v>692</v>
      </c>
      <c r="S69" s="95">
        <v>311</v>
      </c>
      <c r="U69" s="44" t="s">
        <v>7</v>
      </c>
      <c r="V69" s="8">
        <f t="shared" si="0"/>
        <v>3.3134234234234232</v>
      </c>
      <c r="X69" s="44" t="s">
        <v>7</v>
      </c>
      <c r="Y69" s="47">
        <f t="shared" si="1"/>
        <v>110337</v>
      </c>
    </row>
    <row r="70" spans="5:25">
      <c r="E70" s="204" t="s">
        <v>8</v>
      </c>
      <c r="F70" s="163">
        <v>12850</v>
      </c>
      <c r="G70" s="164">
        <v>6366</v>
      </c>
      <c r="H70" s="105">
        <v>1614</v>
      </c>
      <c r="I70" s="110"/>
      <c r="J70" s="110"/>
      <c r="K70" s="111">
        <v>307</v>
      </c>
      <c r="L70" s="112">
        <v>269</v>
      </c>
      <c r="M70" s="165">
        <v>21093</v>
      </c>
      <c r="N70" s="166">
        <v>32638</v>
      </c>
      <c r="O70" s="106">
        <v>3404</v>
      </c>
      <c r="P70" s="167">
        <v>1203</v>
      </c>
      <c r="Q70" s="105">
        <v>278</v>
      </c>
      <c r="R70" s="105">
        <v>897</v>
      </c>
      <c r="S70" s="107">
        <v>470</v>
      </c>
      <c r="U70" s="45" t="s">
        <v>8</v>
      </c>
      <c r="V70" s="9">
        <f t="shared" si="0"/>
        <v>2.4441141141141141</v>
      </c>
      <c r="X70" s="45" t="s">
        <v>8</v>
      </c>
      <c r="Y70" s="48">
        <f t="shared" si="1"/>
        <v>81389</v>
      </c>
    </row>
    <row r="71" spans="5:25">
      <c r="E71" s="204" t="s">
        <v>9</v>
      </c>
      <c r="F71" s="129">
        <v>4081</v>
      </c>
      <c r="G71" s="120">
        <v>1960</v>
      </c>
      <c r="H71" s="168">
        <v>799</v>
      </c>
      <c r="I71" s="169">
        <v>272</v>
      </c>
      <c r="J71" s="170">
        <v>188</v>
      </c>
      <c r="K71" s="131">
        <v>21</v>
      </c>
      <c r="L71" s="171">
        <v>22</v>
      </c>
      <c r="M71" s="172">
        <v>5016</v>
      </c>
      <c r="N71" s="106">
        <v>3701</v>
      </c>
      <c r="O71" s="103">
        <v>7820</v>
      </c>
      <c r="P71" s="173">
        <v>94</v>
      </c>
      <c r="Q71" s="174">
        <v>19</v>
      </c>
      <c r="R71" s="175">
        <v>221</v>
      </c>
      <c r="S71" s="176">
        <v>16</v>
      </c>
      <c r="U71" s="45" t="s">
        <v>9</v>
      </c>
      <c r="V71" s="9">
        <f t="shared" si="0"/>
        <v>0.72762762762762767</v>
      </c>
      <c r="X71" s="45" t="s">
        <v>9</v>
      </c>
      <c r="Y71" s="48">
        <f t="shared" si="1"/>
        <v>24230</v>
      </c>
    </row>
    <row r="72" spans="5:25">
      <c r="E72" s="204" t="s">
        <v>10</v>
      </c>
      <c r="F72" s="129">
        <v>667</v>
      </c>
      <c r="G72" s="114">
        <v>868</v>
      </c>
      <c r="H72" s="177">
        <v>50</v>
      </c>
      <c r="I72" s="178">
        <v>4</v>
      </c>
      <c r="J72" s="110"/>
      <c r="K72" s="179">
        <v>506</v>
      </c>
      <c r="L72" s="180">
        <v>395</v>
      </c>
      <c r="M72" s="172">
        <v>1120</v>
      </c>
      <c r="N72" s="103">
        <v>1094</v>
      </c>
      <c r="O72" s="181">
        <v>244</v>
      </c>
      <c r="P72" s="110">
        <v>4</v>
      </c>
      <c r="Q72" s="110"/>
      <c r="R72" s="105">
        <v>961</v>
      </c>
      <c r="S72" s="182">
        <v>448</v>
      </c>
      <c r="U72" s="45" t="s">
        <v>10</v>
      </c>
      <c r="V72" s="9">
        <f t="shared" si="0"/>
        <v>0.19102102102102103</v>
      </c>
      <c r="X72" s="45" t="s">
        <v>10</v>
      </c>
      <c r="Y72" s="48">
        <f t="shared" si="1"/>
        <v>6361</v>
      </c>
    </row>
    <row r="73" spans="5:25">
      <c r="E73" s="204" t="s">
        <v>11</v>
      </c>
      <c r="F73" s="183">
        <v>174</v>
      </c>
      <c r="G73" s="184">
        <v>157</v>
      </c>
      <c r="H73" s="131">
        <v>11</v>
      </c>
      <c r="I73" s="115">
        <v>183</v>
      </c>
      <c r="J73" s="110">
        <v>49</v>
      </c>
      <c r="K73" s="127"/>
      <c r="L73" s="136"/>
      <c r="M73" s="185">
        <v>219</v>
      </c>
      <c r="N73" s="186">
        <v>295</v>
      </c>
      <c r="O73" s="187">
        <v>429</v>
      </c>
      <c r="P73" s="140">
        <v>1</v>
      </c>
      <c r="Q73" s="110"/>
      <c r="R73" s="188">
        <v>4</v>
      </c>
      <c r="S73" s="189">
        <v>1</v>
      </c>
      <c r="U73" s="45" t="s">
        <v>11</v>
      </c>
      <c r="V73" s="9">
        <f t="shared" si="0"/>
        <v>4.5735735735735736E-2</v>
      </c>
      <c r="X73" s="45" t="s">
        <v>11</v>
      </c>
      <c r="Y73" s="48">
        <f t="shared" si="1"/>
        <v>1523</v>
      </c>
    </row>
    <row r="74" spans="5:25">
      <c r="E74" s="204" t="s">
        <v>12</v>
      </c>
      <c r="F74" s="190">
        <v>332</v>
      </c>
      <c r="G74" s="106">
        <v>349</v>
      </c>
      <c r="H74" s="122">
        <v>40</v>
      </c>
      <c r="I74" s="111">
        <v>461</v>
      </c>
      <c r="J74" s="191">
        <v>66</v>
      </c>
      <c r="K74" s="188">
        <v>2</v>
      </c>
      <c r="L74" s="189">
        <v>1</v>
      </c>
      <c r="M74" s="129">
        <v>661</v>
      </c>
      <c r="N74" s="192">
        <v>943</v>
      </c>
      <c r="O74" s="111">
        <v>1107</v>
      </c>
      <c r="P74" s="193">
        <v>3</v>
      </c>
      <c r="Q74" s="110"/>
      <c r="R74" s="193">
        <v>3</v>
      </c>
      <c r="S74" s="136"/>
      <c r="U74" s="45" t="s">
        <v>12</v>
      </c>
      <c r="V74" s="9">
        <f t="shared" si="0"/>
        <v>0.11915915915915916</v>
      </c>
      <c r="X74" s="45" t="s">
        <v>12</v>
      </c>
      <c r="Y74" s="48">
        <f t="shared" si="1"/>
        <v>3968</v>
      </c>
    </row>
    <row r="75" spans="5:25">
      <c r="E75" s="205" t="s">
        <v>13</v>
      </c>
      <c r="F75" s="147"/>
      <c r="G75" s="150">
        <v>326</v>
      </c>
      <c r="H75" s="151">
        <v>10</v>
      </c>
      <c r="I75" s="194">
        <v>548</v>
      </c>
      <c r="J75" s="195">
        <v>72</v>
      </c>
      <c r="K75" s="148"/>
      <c r="L75" s="196">
        <v>1</v>
      </c>
      <c r="M75" s="144">
        <v>279</v>
      </c>
      <c r="N75" s="197">
        <v>641</v>
      </c>
      <c r="O75" s="198">
        <v>291</v>
      </c>
      <c r="P75" s="199">
        <v>1</v>
      </c>
      <c r="Q75" s="147"/>
      <c r="R75" s="147">
        <v>3</v>
      </c>
      <c r="S75" s="196"/>
      <c r="U75" s="46" t="s">
        <v>13</v>
      </c>
      <c r="V75" s="10">
        <f t="shared" si="0"/>
        <v>6.5225225225225225E-2</v>
      </c>
      <c r="X75" s="46" t="s">
        <v>13</v>
      </c>
      <c r="Y75" s="49">
        <f t="shared" si="1"/>
        <v>2172</v>
      </c>
    </row>
    <row r="77" spans="5:25">
      <c r="E77" s="227" t="s">
        <v>35</v>
      </c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9"/>
      <c r="V77" s="54">
        <f>Y77/V$3</f>
        <v>13.825195195195196</v>
      </c>
      <c r="X77" s="53" t="s">
        <v>20</v>
      </c>
      <c r="Y77" s="51">
        <f>SUM(Y62:Y75)</f>
        <v>460379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3.9405773385740889E-2</v>
      </c>
      <c r="G80" s="31">
        <v>5.7724426159304454E-2</v>
      </c>
      <c r="H80" s="31">
        <v>0.10179187745671799</v>
      </c>
      <c r="I80" s="31">
        <v>1.1186621268142757E-2</v>
      </c>
      <c r="J80" s="31">
        <v>1.6879341700251918E-2</v>
      </c>
      <c r="K80" s="31">
        <v>2.7661088047164373E-2</v>
      </c>
      <c r="L80" s="33">
        <v>3.3972430524540694E-2</v>
      </c>
      <c r="M80" s="29">
        <v>0.12015490400651098</v>
      </c>
      <c r="N80" s="31">
        <v>0.12081588836719205</v>
      </c>
      <c r="O80" s="31">
        <v>0.13015707172089958</v>
      </c>
      <c r="P80" s="31">
        <v>3.1152445616429825E-2</v>
      </c>
      <c r="Q80" s="31">
        <v>3.877764646855926E-2</v>
      </c>
      <c r="R80" s="31">
        <v>5.0462938103042761E-2</v>
      </c>
      <c r="S80" s="33">
        <v>2.5033298302267203E-2</v>
      </c>
    </row>
    <row r="81" spans="5:19">
      <c r="E81" s="45" t="s">
        <v>1</v>
      </c>
      <c r="F81" s="32">
        <v>6.4050691692760606E-2</v>
      </c>
      <c r="G81" s="30">
        <v>3.0794755100666506E-2</v>
      </c>
      <c r="H81" s="30">
        <v>0.10504898703498984</v>
      </c>
      <c r="I81" s="30">
        <v>2.338457326311039E-2</v>
      </c>
      <c r="J81" s="30">
        <v>5.4324089105585824E-2</v>
      </c>
      <c r="K81" s="30">
        <v>5.1120152401985468E-2</v>
      </c>
      <c r="L81" s="34">
        <v>3.9680744239943604E-2</v>
      </c>
      <c r="M81" s="32">
        <v>0.10213616000919981</v>
      </c>
      <c r="N81" s="30">
        <v>0.10390293686516359</v>
      </c>
      <c r="O81" s="30">
        <v>0.12842666189321331</v>
      </c>
      <c r="P81" s="30">
        <v>6.7958137932740859E-2</v>
      </c>
      <c r="Q81" s="30">
        <v>7.9892277140741819E-2</v>
      </c>
      <c r="R81" s="30">
        <v>3.9285213192326265E-2</v>
      </c>
      <c r="S81" s="34">
        <v>2.0518383051341616E-2</v>
      </c>
    </row>
    <row r="82" spans="5:19">
      <c r="E82" s="45" t="s">
        <v>2</v>
      </c>
      <c r="F82" s="32">
        <v>0.12771332539338953</v>
      </c>
      <c r="G82" s="30">
        <v>0.10861267954805645</v>
      </c>
      <c r="H82" s="30">
        <v>3.639193479795904E-2</v>
      </c>
      <c r="I82" s="30">
        <v>9.5245259645136596E-2</v>
      </c>
      <c r="J82" s="30">
        <v>9.2624190663231229E-2</v>
      </c>
      <c r="K82" s="30">
        <v>5.5250524215044346E-2</v>
      </c>
      <c r="L82" s="34">
        <v>4.8341675573409473E-2</v>
      </c>
      <c r="M82" s="32">
        <v>0.14163082444565822</v>
      </c>
      <c r="N82" s="30">
        <v>0.1400628877129437</v>
      </c>
      <c r="O82" s="30">
        <v>0.16396758288717314</v>
      </c>
      <c r="P82" s="30">
        <v>4.5658139343548357E-2</v>
      </c>
      <c r="Q82" s="30">
        <v>2.3361066404787505E-2</v>
      </c>
      <c r="R82" s="30">
        <v>7.9608067446286124E-2</v>
      </c>
      <c r="S82" s="34">
        <v>0.14446026638653267</v>
      </c>
    </row>
    <row r="83" spans="5:19">
      <c r="E83" s="45" t="s">
        <v>3</v>
      </c>
      <c r="F83" s="32">
        <v>1.7713842626343102E-5</v>
      </c>
      <c r="G83" s="30">
        <v>1.7883060598296151E-5</v>
      </c>
      <c r="H83" s="30">
        <v>1.8178967051771893E-5</v>
      </c>
      <c r="I83" s="30">
        <v>1.1789526863458216E-5</v>
      </c>
      <c r="J83" s="30">
        <v>1.4386964143010449E-5</v>
      </c>
      <c r="K83" s="30">
        <v>1.4697093399902748E-5</v>
      </c>
      <c r="L83" s="34">
        <v>1.4422783459105466E-5</v>
      </c>
      <c r="M83" s="32">
        <v>1.6202675475658488E-5</v>
      </c>
      <c r="N83" s="30">
        <v>1.6171430048977086E-5</v>
      </c>
      <c r="O83" s="30">
        <v>1.1828023345631354E-5</v>
      </c>
      <c r="P83" s="30">
        <v>1.3927721303248862E-5</v>
      </c>
      <c r="Q83" s="30">
        <v>1.2254611510797985E-5</v>
      </c>
      <c r="R83" s="30">
        <v>1.3694586416621128E-5</v>
      </c>
      <c r="S83" s="34">
        <v>1.5019375608677226E-5</v>
      </c>
    </row>
    <row r="84" spans="5:19">
      <c r="E84" s="45" t="s">
        <v>4</v>
      </c>
      <c r="F84" s="32">
        <v>1.6429796300588485E-5</v>
      </c>
      <c r="G84" s="30">
        <v>2.0059268283654172E-5</v>
      </c>
      <c r="H84" s="30">
        <v>2.1273400894829047E-5</v>
      </c>
      <c r="I84" s="30">
        <v>7.3253670052508825E-6</v>
      </c>
      <c r="J84" s="30">
        <v>1.1033594481497338E-5</v>
      </c>
      <c r="K84" s="30">
        <v>1.0987471690831236E-5</v>
      </c>
      <c r="L84" s="34">
        <v>1.7962972378882114E-5</v>
      </c>
      <c r="M84" s="32">
        <v>1.5221661053481894E-5</v>
      </c>
      <c r="N84" s="30">
        <v>1.9594490161876236E-5</v>
      </c>
      <c r="O84" s="30">
        <v>2.6568708353953561E-5</v>
      </c>
      <c r="P84" s="30">
        <v>1.3946292806157553E-5</v>
      </c>
      <c r="Q84" s="30">
        <v>1.9944831520164868E-5</v>
      </c>
      <c r="R84" s="30">
        <v>6.0700685864389925E-6</v>
      </c>
      <c r="S84" s="34">
        <v>5.9928410337306562E-6</v>
      </c>
    </row>
    <row r="85" spans="5:19">
      <c r="E85" s="45" t="s">
        <v>5</v>
      </c>
      <c r="F85" s="32">
        <v>1.9624636166015182E-5</v>
      </c>
      <c r="G85" s="30">
        <v>1.9316276149649564E-5</v>
      </c>
      <c r="H85" s="30">
        <v>2.2984848022091295E-5</v>
      </c>
      <c r="I85" s="30">
        <v>1.5195869015168942E-5</v>
      </c>
      <c r="J85" s="30">
        <v>1.1058440577471629E-5</v>
      </c>
      <c r="K85" s="30">
        <v>1.0163397848828027E-5</v>
      </c>
      <c r="L85" s="34">
        <v>1.8178349571164951E-5</v>
      </c>
      <c r="M85" s="32">
        <v>1.5459178159432542E-5</v>
      </c>
      <c r="N85" s="30">
        <v>2.0420201661153214E-5</v>
      </c>
      <c r="O85" s="30">
        <v>1.9398591080864527E-5</v>
      </c>
      <c r="P85" s="30">
        <v>1.5672236224676893E-5</v>
      </c>
      <c r="Q85" s="30">
        <v>1.711741355688286E-5</v>
      </c>
      <c r="R85" s="30">
        <v>6.1962798099557405E-6</v>
      </c>
      <c r="S85" s="34">
        <v>1.4430630471906625E-5</v>
      </c>
    </row>
    <row r="86" spans="5:19">
      <c r="E86" s="46" t="s">
        <v>6</v>
      </c>
      <c r="F86" s="37">
        <v>1.9093862638806983E-5</v>
      </c>
      <c r="G86" s="36">
        <v>1.9529019202024582E-5</v>
      </c>
      <c r="H86" s="36">
        <v>2.1145040384719432E-5</v>
      </c>
      <c r="I86" s="36">
        <v>1.9409114723684444E-5</v>
      </c>
      <c r="J86" s="36">
        <v>2.4579461410212389E-5</v>
      </c>
      <c r="K86" s="36">
        <v>9.9341398254182423E-6</v>
      </c>
      <c r="L86" s="35">
        <v>9.418293088588945E-6</v>
      </c>
      <c r="M86" s="37">
        <v>1.4095795175537832E-5</v>
      </c>
      <c r="N86" s="36">
        <v>1.9409559581559939E-5</v>
      </c>
      <c r="O86" s="36">
        <v>2.4339785937854685E-5</v>
      </c>
      <c r="P86" s="36">
        <v>1.5444442366092064E-5</v>
      </c>
      <c r="Q86" s="36">
        <v>1.2167666908132956E-5</v>
      </c>
      <c r="R86" s="36">
        <v>1.3844589921063743E-5</v>
      </c>
      <c r="S86" s="35">
        <v>1.6337544366251677E-6</v>
      </c>
    </row>
    <row r="87" spans="5:19">
      <c r="E87" s="44" t="s">
        <v>7</v>
      </c>
      <c r="F87" s="11">
        <v>0.1200774479812267</v>
      </c>
      <c r="G87" s="12">
        <v>0.1216211605473172</v>
      </c>
      <c r="H87" s="12">
        <v>0.13263276006173433</v>
      </c>
      <c r="I87" s="12">
        <v>3.6335616198216486E-2</v>
      </c>
      <c r="J87" s="12">
        <v>3.8336225389999659E-2</v>
      </c>
      <c r="K87" s="12">
        <v>3.9582749371619069E-2</v>
      </c>
      <c r="L87" s="13">
        <v>2.5703584078866634E-2</v>
      </c>
      <c r="M87" s="11">
        <v>3.8769442128193637E-2</v>
      </c>
      <c r="N87" s="12">
        <v>5.6750674821775246E-2</v>
      </c>
      <c r="O87" s="12">
        <v>0.10022665062019613</v>
      </c>
      <c r="P87" s="12">
        <v>1.0897707863837735E-2</v>
      </c>
      <c r="Q87" s="12">
        <v>1.9293341416537525E-2</v>
      </c>
      <c r="R87" s="12">
        <v>2.7061692062620352E-2</v>
      </c>
      <c r="S87" s="13">
        <v>3.1127472401320005E-2</v>
      </c>
    </row>
    <row r="88" spans="5:19">
      <c r="E88" s="45" t="s">
        <v>8</v>
      </c>
      <c r="F88" s="14">
        <v>0.10642789434769283</v>
      </c>
      <c r="G88" s="15">
        <v>0.10222451547873596</v>
      </c>
      <c r="H88" s="15">
        <v>0.1281575246290263</v>
      </c>
      <c r="I88" s="15">
        <v>5.4087105658947948E-2</v>
      </c>
      <c r="J88" s="15">
        <v>7.4092781257910467E-2</v>
      </c>
      <c r="K88" s="15">
        <v>6.099219126625631E-2</v>
      </c>
      <c r="L88" s="16">
        <v>2.5197770106709899E-2</v>
      </c>
      <c r="M88" s="14">
        <v>6.5940130898234556E-2</v>
      </c>
      <c r="N88" s="15">
        <v>3.320735794484321E-2</v>
      </c>
      <c r="O88" s="15">
        <v>0.10444811950483289</v>
      </c>
      <c r="P88" s="15">
        <v>2.3212678275708842E-2</v>
      </c>
      <c r="Q88" s="15">
        <v>3.5642471883551206E-2</v>
      </c>
      <c r="R88" s="15">
        <v>3.7876100110176378E-2</v>
      </c>
      <c r="S88" s="16">
        <v>2.2796828055490104E-2</v>
      </c>
    </row>
    <row r="89" spans="5:19">
      <c r="E89" s="45" t="s">
        <v>9</v>
      </c>
      <c r="F89" s="14">
        <v>0.13606908513696531</v>
      </c>
      <c r="G89" s="15">
        <v>0.13506266983776063</v>
      </c>
      <c r="H89" s="15">
        <v>0.15054258004466003</v>
      </c>
      <c r="I89" s="15">
        <v>5.7859609594117616E-2</v>
      </c>
      <c r="J89" s="15">
        <v>2.6053345778227301E-2</v>
      </c>
      <c r="K89" s="15">
        <v>0.13168495797096477</v>
      </c>
      <c r="L89" s="16">
        <v>0.17072830933623132</v>
      </c>
      <c r="M89" s="14">
        <v>0.12479301077659746</v>
      </c>
      <c r="N89" s="15">
        <v>0.10535980850499913</v>
      </c>
      <c r="O89" s="15">
        <v>3.625667580105453E-2</v>
      </c>
      <c r="P89" s="15">
        <v>6.3512741822291344E-2</v>
      </c>
      <c r="Q89" s="15">
        <v>8.0715809076552889E-2</v>
      </c>
      <c r="R89" s="15">
        <v>5.4410721695497523E-2</v>
      </c>
      <c r="S89" s="16">
        <v>0.13526125330413327</v>
      </c>
    </row>
    <row r="90" spans="5:19">
      <c r="E90" s="45" t="s">
        <v>10</v>
      </c>
      <c r="F90" s="14">
        <v>1.5399546568801445E-5</v>
      </c>
      <c r="G90" s="15">
        <v>1.5927130946035121E-5</v>
      </c>
      <c r="H90" s="15">
        <v>2.0324878478001637E-5</v>
      </c>
      <c r="I90" s="15">
        <v>1.347019601819168E-5</v>
      </c>
      <c r="J90" s="15">
        <v>1.1136371215668208E-5</v>
      </c>
      <c r="K90" s="15">
        <v>1.5991397769021137E-5</v>
      </c>
      <c r="L90" s="16">
        <v>1.4055392063860049E-5</v>
      </c>
      <c r="M90" s="14">
        <v>1.7010655237625695E-5</v>
      </c>
      <c r="N90" s="15">
        <v>1.8007023548669652E-5</v>
      </c>
      <c r="O90" s="15">
        <v>2.1687128668732147E-5</v>
      </c>
      <c r="P90" s="15">
        <v>1.2389248638686103E-5</v>
      </c>
      <c r="Q90" s="15">
        <v>9.0547905529092532E-6</v>
      </c>
      <c r="R90" s="15">
        <v>1.5023377438537224E-5</v>
      </c>
      <c r="S90" s="16">
        <v>1.4208369054489583E-5</v>
      </c>
    </row>
    <row r="91" spans="5:19">
      <c r="E91" s="45" t="s">
        <v>11</v>
      </c>
      <c r="F91" s="14">
        <v>1.725572026566487E-5</v>
      </c>
      <c r="G91" s="15">
        <v>2.0517504076585337E-5</v>
      </c>
      <c r="H91" s="15">
        <v>1.6817970936244821E-5</v>
      </c>
      <c r="I91" s="15">
        <v>1.4370487496409187E-5</v>
      </c>
      <c r="J91" s="15">
        <v>1.1896868318217458E-5</v>
      </c>
      <c r="K91" s="15">
        <v>3.3490032365079969E-6</v>
      </c>
      <c r="L91" s="16">
        <v>4.9136800043925177E-5</v>
      </c>
      <c r="M91" s="14">
        <v>1.9427049830378351E-5</v>
      </c>
      <c r="N91" s="15">
        <v>2.0986110337259412E-5</v>
      </c>
      <c r="O91" s="15">
        <v>2.1740002766266019E-5</v>
      </c>
      <c r="P91" s="15">
        <v>8.5158608596559911E-6</v>
      </c>
      <c r="Q91" s="15">
        <v>1.1786925028900441E-5</v>
      </c>
      <c r="R91" s="15">
        <v>1.8438236293150111E-5</v>
      </c>
      <c r="S91" s="16">
        <v>3.8486029249421945E-6</v>
      </c>
    </row>
    <row r="92" spans="5:19">
      <c r="E92" s="45" t="s">
        <v>12</v>
      </c>
      <c r="F92" s="14">
        <v>1.3661756751337259E-5</v>
      </c>
      <c r="G92" s="15">
        <v>1.8646623547735663E-5</v>
      </c>
      <c r="H92" s="15">
        <v>1.7171038109609071E-5</v>
      </c>
      <c r="I92" s="15">
        <v>1.6051261886083185E-5</v>
      </c>
      <c r="J92" s="15">
        <v>1.4560845860008461E-5</v>
      </c>
      <c r="K92" s="15">
        <v>4.30428493321718E-6</v>
      </c>
      <c r="L92" s="16">
        <v>2.2599771303551581E-5</v>
      </c>
      <c r="M92" s="14">
        <v>1.7819314685295468E-5</v>
      </c>
      <c r="N92" s="15">
        <v>2.0880496387976865E-5</v>
      </c>
      <c r="O92" s="15">
        <v>2.100169360189155E-5</v>
      </c>
      <c r="P92" s="15">
        <v>1.0913978669469499E-5</v>
      </c>
      <c r="Q92" s="15">
        <v>1.4117170134600851E-5</v>
      </c>
      <c r="R92" s="15">
        <v>1.7200122942183172E-5</v>
      </c>
      <c r="S92" s="16">
        <v>2.5931639096857646E-5</v>
      </c>
    </row>
    <row r="93" spans="5:19">
      <c r="E93" s="46" t="s">
        <v>13</v>
      </c>
      <c r="F93" s="17">
        <v>1.4592472144045754E-5</v>
      </c>
      <c r="G93" s="18">
        <v>1.9461039742018232E-5</v>
      </c>
      <c r="H93" s="18">
        <v>3.2609286790830083E-5</v>
      </c>
      <c r="I93" s="18">
        <v>1.498179960999233E-5</v>
      </c>
      <c r="J93" s="18">
        <v>1.9165655476172106E-5</v>
      </c>
      <c r="K93" s="18">
        <v>1.4378317700902699E-6</v>
      </c>
      <c r="L93" s="19"/>
      <c r="M93" s="17">
        <v>1.4631219746488371E-5</v>
      </c>
      <c r="N93" s="18">
        <v>1.9416002279622731E-5</v>
      </c>
      <c r="O93" s="18">
        <v>2.2420247745561732E-5</v>
      </c>
      <c r="P93" s="18">
        <v>6.3868484024472609E-6</v>
      </c>
      <c r="Q93" s="18">
        <v>2.0191641014990739E-5</v>
      </c>
      <c r="R93" s="18">
        <v>1.001597968297574E-5</v>
      </c>
      <c r="S93" s="19">
        <v>5.2621483064285712E-6</v>
      </c>
    </row>
    <row r="95" spans="5:19">
      <c r="E95" s="227" t="s">
        <v>36</v>
      </c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9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5.8729990281492402E-2</v>
      </c>
      <c r="G98" s="31">
        <v>4.8185387005379797E-2</v>
      </c>
      <c r="H98" s="31">
        <v>8.9877016161611603E-2</v>
      </c>
      <c r="I98" s="31">
        <v>7.2075370501057598E-3</v>
      </c>
      <c r="J98" s="31">
        <v>1.60658088235291E-3</v>
      </c>
      <c r="K98" s="31">
        <v>3.8641466666666699E-3</v>
      </c>
      <c r="L98" s="33">
        <v>1.65284375E-2</v>
      </c>
      <c r="M98" s="29">
        <v>0.17774087370734901</v>
      </c>
      <c r="N98" s="31">
        <v>0.14029916162317099</v>
      </c>
      <c r="O98" s="31">
        <v>0.115857092592591</v>
      </c>
      <c r="P98" s="31">
        <v>1.29945663265305E-2</v>
      </c>
      <c r="Q98" s="31">
        <v>4.61999999999998E-4</v>
      </c>
      <c r="R98" s="31">
        <v>6.3178935185185204E-3</v>
      </c>
      <c r="S98" s="33">
        <v>9.5833018867924492E-3</v>
      </c>
    </row>
    <row r="99" spans="5:19">
      <c r="E99" s="45" t="s">
        <v>1</v>
      </c>
      <c r="F99" s="32">
        <v>6.33967110713506E-2</v>
      </c>
      <c r="G99" s="30">
        <v>2.6290711451146299E-2</v>
      </c>
      <c r="H99" s="30">
        <v>6.7454380796510297E-2</v>
      </c>
      <c r="I99" s="30">
        <v>2.6207786116322698E-3</v>
      </c>
      <c r="J99" s="30">
        <v>9.3227722772277295E-4</v>
      </c>
      <c r="K99" s="30">
        <v>1.11114903299203E-3</v>
      </c>
      <c r="L99" s="34">
        <v>1.8174117647058699E-3</v>
      </c>
      <c r="M99" s="32">
        <v>0.12927619722848199</v>
      </c>
      <c r="N99" s="30">
        <v>8.20942066538662E-2</v>
      </c>
      <c r="O99" s="30">
        <v>0.102539442204302</v>
      </c>
      <c r="P99" s="30"/>
      <c r="Q99" s="30"/>
      <c r="R99" s="30">
        <v>1.90636054421767E-3</v>
      </c>
      <c r="S99" s="34">
        <v>4.4486725663716699E-3</v>
      </c>
    </row>
    <row r="100" spans="5:19">
      <c r="E100" s="45" t="s">
        <v>2</v>
      </c>
      <c r="F100" s="32">
        <v>0.17962432561698399</v>
      </c>
      <c r="G100" s="30">
        <v>0.106615936049508</v>
      </c>
      <c r="H100" s="30">
        <v>4.7482564559215901E-2</v>
      </c>
      <c r="I100" s="30">
        <v>2.8524363636363601E-2</v>
      </c>
      <c r="J100" s="30">
        <v>8.0952380952380902E-4</v>
      </c>
      <c r="K100" s="30">
        <v>1.2363037974683499E-2</v>
      </c>
      <c r="L100" s="34">
        <v>7.0691538461538403E-2</v>
      </c>
      <c r="M100" s="32">
        <v>0.204534724709039</v>
      </c>
      <c r="N100" s="30">
        <v>0.17992435680751101</v>
      </c>
      <c r="O100" s="30">
        <v>0.159789865410498</v>
      </c>
      <c r="P100" s="30">
        <v>2.0897499999999999E-2</v>
      </c>
      <c r="Q100" s="30">
        <v>4.4357692307692301E-3</v>
      </c>
      <c r="R100" s="30">
        <v>7.8430714285714201E-2</v>
      </c>
      <c r="S100" s="34">
        <v>3.6133333333333302E-2</v>
      </c>
    </row>
    <row r="101" spans="5:19">
      <c r="E101" s="45" t="s">
        <v>3</v>
      </c>
      <c r="F101" s="32">
        <v>2.9646272806255199E-2</v>
      </c>
      <c r="G101" s="30">
        <v>2.5997230142566E-2</v>
      </c>
      <c r="H101" s="30">
        <v>3.8960497925311102E-2</v>
      </c>
      <c r="I101" s="30">
        <v>1.0000000000000001E-5</v>
      </c>
      <c r="J101" s="30"/>
      <c r="K101" s="30">
        <v>5.0376026119403096E-3</v>
      </c>
      <c r="L101" s="34">
        <v>1.10768599033816E-2</v>
      </c>
      <c r="M101" s="32">
        <v>4.3744485049833602E-2</v>
      </c>
      <c r="N101" s="30">
        <v>2.9509874371859101E-2</v>
      </c>
      <c r="O101" s="30">
        <v>3.9401454545454503E-2</v>
      </c>
      <c r="P101" s="30">
        <v>2.0599999999999999E-4</v>
      </c>
      <c r="Q101" s="30"/>
      <c r="R101" s="30">
        <v>2.55094843049327E-2</v>
      </c>
      <c r="S101" s="34">
        <v>1.3983487738419601E-2</v>
      </c>
    </row>
    <row r="102" spans="5:19">
      <c r="E102" s="45" t="s">
        <v>4</v>
      </c>
      <c r="F102" s="32">
        <v>5.9322570281124302E-2</v>
      </c>
      <c r="G102" s="30">
        <v>5.4496807017543697E-2</v>
      </c>
      <c r="H102" s="30">
        <v>1.5174714285714101E-2</v>
      </c>
      <c r="I102" s="30">
        <v>1.0000000000000001E-5</v>
      </c>
      <c r="J102" s="30"/>
      <c r="K102" s="30"/>
      <c r="L102" s="34"/>
      <c r="M102" s="32">
        <v>0.108486411764705</v>
      </c>
      <c r="N102" s="30">
        <v>3.0736299212598399E-2</v>
      </c>
      <c r="O102" s="30">
        <v>0.23485928571428499</v>
      </c>
      <c r="P102" s="30">
        <v>4.87026315789473E-3</v>
      </c>
      <c r="Q102" s="30">
        <v>9.7434782608695598E-4</v>
      </c>
      <c r="R102" s="30"/>
      <c r="S102" s="34"/>
    </row>
    <row r="103" spans="5:19">
      <c r="E103" s="45" t="s">
        <v>5</v>
      </c>
      <c r="F103" s="32">
        <v>6.3936909581646495E-2</v>
      </c>
      <c r="G103" s="30">
        <v>4.1927081589958198E-2</v>
      </c>
      <c r="H103" s="30">
        <v>1.1346865671641599E-2</v>
      </c>
      <c r="I103" s="30">
        <v>3.3156699999999999</v>
      </c>
      <c r="J103" s="30"/>
      <c r="K103" s="30">
        <v>3.0000000000000001E-3</v>
      </c>
      <c r="L103" s="34"/>
      <c r="M103" s="32">
        <v>0.11809298192771001</v>
      </c>
      <c r="N103" s="30">
        <v>5.6006674584322798E-2</v>
      </c>
      <c r="O103" s="30">
        <v>0.11004369565217299</v>
      </c>
      <c r="P103" s="30">
        <v>2.0737751756440201E-2</v>
      </c>
      <c r="Q103" s="30">
        <v>1.2842016806722601E-3</v>
      </c>
      <c r="R103" s="30"/>
      <c r="S103" s="34"/>
    </row>
    <row r="104" spans="5:19">
      <c r="E104" s="46" t="s">
        <v>6</v>
      </c>
      <c r="F104" s="37">
        <v>3.3362653631284697E-2</v>
      </c>
      <c r="G104" s="36">
        <v>2.1321630252100699E-2</v>
      </c>
      <c r="H104" s="36">
        <v>9.7003806228373596E-3</v>
      </c>
      <c r="I104" s="36"/>
      <c r="J104" s="36">
        <v>1.49E-3</v>
      </c>
      <c r="K104" s="36">
        <v>0.17</v>
      </c>
      <c r="L104" s="35">
        <v>1.0000000000000001E-5</v>
      </c>
      <c r="M104" s="37"/>
      <c r="N104" s="36">
        <v>1.7603827160493701E-2</v>
      </c>
      <c r="O104" s="36">
        <v>5.3333333333333297E-3</v>
      </c>
      <c r="P104" s="36">
        <v>1.6427094594594498E-2</v>
      </c>
      <c r="Q104" s="36">
        <v>1.7880263157894699E-3</v>
      </c>
      <c r="R104" s="36"/>
      <c r="S104" s="35"/>
    </row>
    <row r="105" spans="5:19">
      <c r="E105" s="44" t="s">
        <v>7</v>
      </c>
      <c r="F105" s="11">
        <v>0.17739044160131701</v>
      </c>
      <c r="G105" s="12">
        <v>0.141252731196049</v>
      </c>
      <c r="H105" s="12">
        <v>0.13014620009979699</v>
      </c>
      <c r="I105" s="12">
        <v>1.47795170454545E-2</v>
      </c>
      <c r="J105" s="12">
        <v>4.5652968036529601E-4</v>
      </c>
      <c r="K105" s="12">
        <v>8.7517102137767405E-3</v>
      </c>
      <c r="L105" s="13">
        <v>8.7860067114093904E-3</v>
      </c>
      <c r="M105" s="11">
        <v>5.6940163880529103E-2</v>
      </c>
      <c r="N105" s="12">
        <v>4.57551043375145E-2</v>
      </c>
      <c r="O105" s="12">
        <v>7.8908944409741499E-2</v>
      </c>
      <c r="P105" s="12">
        <v>8.1898458844131394E-3</v>
      </c>
      <c r="Q105" s="12">
        <v>4.8958135283363796E-3</v>
      </c>
      <c r="R105" s="12">
        <v>2.0971676300577998E-3</v>
      </c>
      <c r="S105" s="13">
        <v>1.5689389067523998E-2</v>
      </c>
    </row>
    <row r="106" spans="5:19">
      <c r="E106" s="45" t="s">
        <v>8</v>
      </c>
      <c r="F106" s="14">
        <v>0.125087535408554</v>
      </c>
      <c r="G106" s="15">
        <v>7.7646996544137106E-2</v>
      </c>
      <c r="H106" s="15">
        <v>0.138585433705081</v>
      </c>
      <c r="I106" s="15"/>
      <c r="J106" s="15"/>
      <c r="K106" s="15">
        <v>5.6464169381107501E-3</v>
      </c>
      <c r="L106" s="16">
        <v>1.3160966542750899E-2</v>
      </c>
      <c r="M106" s="14">
        <v>6.7559793770435E-2</v>
      </c>
      <c r="N106" s="15">
        <v>2.7494515595307099E-2</v>
      </c>
      <c r="O106" s="15">
        <v>5.6141248531141698E-2</v>
      </c>
      <c r="P106" s="15">
        <v>2.96772236076476E-3</v>
      </c>
      <c r="Q106" s="15">
        <v>8.9417266187050495E-4</v>
      </c>
      <c r="R106" s="15">
        <v>8.7521739130434599E-4</v>
      </c>
      <c r="S106" s="16">
        <v>1.8863617021276601E-3</v>
      </c>
    </row>
    <row r="107" spans="5:19">
      <c r="E107" s="45" t="s">
        <v>9</v>
      </c>
      <c r="F107" s="14">
        <v>0.178291350159272</v>
      </c>
      <c r="G107" s="15">
        <v>0.149338622448979</v>
      </c>
      <c r="H107" s="15">
        <v>0.20484091364205201</v>
      </c>
      <c r="I107" s="15">
        <v>2.32569117647058E-2</v>
      </c>
      <c r="J107" s="15">
        <v>1.22745744680851E-2</v>
      </c>
      <c r="K107" s="15">
        <v>3.52371428571428E-2</v>
      </c>
      <c r="L107" s="16">
        <v>0.44708999999999999</v>
      </c>
      <c r="M107" s="14">
        <v>0.148850382775116</v>
      </c>
      <c r="N107" s="15">
        <v>9.7186133477437306E-2</v>
      </c>
      <c r="O107" s="15">
        <v>3.57783081841445E-2</v>
      </c>
      <c r="P107" s="15">
        <v>5.2750851063829797E-2</v>
      </c>
      <c r="Q107" s="15">
        <v>1.1594736842105199E-3</v>
      </c>
      <c r="R107" s="15">
        <v>8.4268325791855003E-3</v>
      </c>
      <c r="S107" s="16">
        <v>5.1499375E-2</v>
      </c>
    </row>
    <row r="108" spans="5:19">
      <c r="E108" s="45" t="s">
        <v>10</v>
      </c>
      <c r="F108" s="14">
        <v>5.1841244377810798E-2</v>
      </c>
      <c r="G108" s="15">
        <v>2.70802304147463E-2</v>
      </c>
      <c r="H108" s="15">
        <v>0.19244120000000001</v>
      </c>
      <c r="I108" s="15">
        <v>0.82725749999999998</v>
      </c>
      <c r="J108" s="15"/>
      <c r="K108" s="15">
        <v>7.2376284584980202E-3</v>
      </c>
      <c r="L108" s="16">
        <v>2.0780962025316398E-2</v>
      </c>
      <c r="M108" s="14">
        <v>2.7041499999999701E-2</v>
      </c>
      <c r="N108" s="15">
        <v>2.4673510054844399E-2</v>
      </c>
      <c r="O108" s="15">
        <v>9.8139344262294995E-3</v>
      </c>
      <c r="P108" s="15">
        <v>2.5750000000000002E-4</v>
      </c>
      <c r="Q108" s="15"/>
      <c r="R108" s="15">
        <v>7.0731425598334801E-3</v>
      </c>
      <c r="S108" s="16">
        <v>9.0568080357143095E-3</v>
      </c>
    </row>
    <row r="109" spans="5:19">
      <c r="E109" s="45" t="s">
        <v>11</v>
      </c>
      <c r="F109" s="14">
        <v>7.5134655172413703E-2</v>
      </c>
      <c r="G109" s="15">
        <v>5.8343566878980797E-2</v>
      </c>
      <c r="H109" s="15">
        <v>0.401541818181818</v>
      </c>
      <c r="I109" s="15">
        <v>2.9225136612021701E-3</v>
      </c>
      <c r="J109" s="15">
        <v>1.0348979591836701E-3</v>
      </c>
      <c r="K109" s="15"/>
      <c r="L109" s="16"/>
      <c r="M109" s="14">
        <v>6.0984931506849201E-2</v>
      </c>
      <c r="N109" s="15">
        <v>4.2739932203389598E-2</v>
      </c>
      <c r="O109" s="15">
        <v>1.0374172494172501E-2</v>
      </c>
      <c r="P109" s="15">
        <v>7.6029999999999998</v>
      </c>
      <c r="Q109" s="15"/>
      <c r="R109" s="15">
        <v>5.6752499999999997E-2</v>
      </c>
      <c r="S109" s="16">
        <v>1E-3</v>
      </c>
    </row>
    <row r="110" spans="5:19">
      <c r="E110" s="45" t="s">
        <v>12</v>
      </c>
      <c r="F110" s="14">
        <v>0.140301777108433</v>
      </c>
      <c r="G110" s="15">
        <v>5.64416905444124E-2</v>
      </c>
      <c r="H110" s="15">
        <v>0.15692500000000001</v>
      </c>
      <c r="I110" s="15">
        <v>1.5333752711496699E-2</v>
      </c>
      <c r="J110" s="15">
        <v>1.7124242424242399E-3</v>
      </c>
      <c r="K110" s="15">
        <v>4.8000000000000001E-2</v>
      </c>
      <c r="L110" s="16">
        <v>1.98E-3</v>
      </c>
      <c r="M110" s="14">
        <v>6.1789727685325202E-2</v>
      </c>
      <c r="N110" s="15">
        <v>3.8673446447507802E-2</v>
      </c>
      <c r="O110" s="15">
        <v>9.7114814814813506E-3</v>
      </c>
      <c r="P110" s="15">
        <v>2.3990000000000001E-2</v>
      </c>
      <c r="Q110" s="15"/>
      <c r="R110" s="15">
        <v>4.3333333333333297E-3</v>
      </c>
      <c r="S110" s="16"/>
    </row>
    <row r="111" spans="5:19">
      <c r="E111" s="46" t="s">
        <v>13</v>
      </c>
      <c r="F111" s="17"/>
      <c r="G111" s="18">
        <v>1.1264202453987701E-2</v>
      </c>
      <c r="H111" s="18">
        <v>9.8799999999999999E-2</v>
      </c>
      <c r="I111" s="18">
        <v>1.9449489051094799E-2</v>
      </c>
      <c r="J111" s="18">
        <v>1.0530555555555499E-3</v>
      </c>
      <c r="K111" s="18"/>
      <c r="L111" s="19">
        <v>1.02</v>
      </c>
      <c r="M111" s="17">
        <v>2.7502293906809899E-2</v>
      </c>
      <c r="N111" s="18">
        <v>1.57952574102962E-2</v>
      </c>
      <c r="O111" s="18">
        <v>1.31675257731958E-2</v>
      </c>
      <c r="P111" s="18">
        <v>1.0000000000000001E-5</v>
      </c>
      <c r="Q111" s="18"/>
      <c r="R111" s="18">
        <v>1.98666666666666E-3</v>
      </c>
      <c r="S111" s="19"/>
    </row>
    <row r="113" spans="5:19">
      <c r="E113" s="227" t="s">
        <v>38</v>
      </c>
      <c r="F113" s="228"/>
      <c r="G113" s="228"/>
      <c r="H113" s="228"/>
      <c r="I113" s="228"/>
      <c r="J113" s="228"/>
      <c r="K113" s="228"/>
      <c r="L113" s="228"/>
      <c r="M113" s="228"/>
      <c r="N113" s="228"/>
      <c r="O113" s="228"/>
      <c r="P113" s="228"/>
      <c r="Q113" s="228"/>
      <c r="R113" s="228"/>
      <c r="S113" s="229"/>
    </row>
    <row r="115" spans="5:19">
      <c r="E115" s="40" t="s">
        <v>21</v>
      </c>
      <c r="F115" s="41" t="s">
        <v>0</v>
      </c>
      <c r="G115" s="42" t="s">
        <v>1</v>
      </c>
      <c r="H115" s="42" t="s">
        <v>2</v>
      </c>
      <c r="I115" s="42" t="s">
        <v>3</v>
      </c>
      <c r="J115" s="42" t="s">
        <v>4</v>
      </c>
      <c r="K115" s="42" t="s">
        <v>5</v>
      </c>
      <c r="L115" s="43" t="s">
        <v>6</v>
      </c>
      <c r="M115" s="41" t="s">
        <v>7</v>
      </c>
      <c r="N115" s="42" t="s">
        <v>8</v>
      </c>
      <c r="O115" s="42" t="s">
        <v>9</v>
      </c>
      <c r="P115" s="42" t="s">
        <v>10</v>
      </c>
      <c r="Q115" s="42" t="s">
        <v>11</v>
      </c>
      <c r="R115" s="42" t="s">
        <v>12</v>
      </c>
      <c r="S115" s="43" t="s">
        <v>13</v>
      </c>
    </row>
    <row r="116" spans="5:19">
      <c r="E116" s="44" t="s">
        <v>0</v>
      </c>
      <c r="F116" s="206">
        <v>-0.16312056050701401</v>
      </c>
      <c r="G116" s="207">
        <v>-9.1745270568156997E-2</v>
      </c>
      <c r="H116" s="207">
        <v>9.0048814932718393E-3</v>
      </c>
      <c r="I116" s="207">
        <v>-0.46836741840505502</v>
      </c>
      <c r="J116" s="207">
        <v>-0.45678024252735799</v>
      </c>
      <c r="K116" s="207">
        <v>-8.9703805018147703E-2</v>
      </c>
      <c r="L116" s="208">
        <v>-6.8327338763324003E-2</v>
      </c>
      <c r="M116" s="206">
        <v>-1.3025693662254299E-3</v>
      </c>
      <c r="N116" s="207">
        <v>-0.17550260310650201</v>
      </c>
      <c r="O116" s="207">
        <v>-0.17072184676114699</v>
      </c>
      <c r="P116" s="207">
        <v>0.47072645555944798</v>
      </c>
      <c r="Q116" s="207">
        <v>0.46146091964456898</v>
      </c>
      <c r="R116" s="207">
        <v>-2.2608854089290899E-2</v>
      </c>
      <c r="S116" s="208">
        <v>-9.4984416901596602E-3</v>
      </c>
    </row>
    <row r="117" spans="5:19">
      <c r="E117" s="45" t="s">
        <v>1</v>
      </c>
      <c r="F117" s="209">
        <v>-9.66413178315597E-2</v>
      </c>
      <c r="G117" s="210">
        <v>4.2089513602255303E-2</v>
      </c>
      <c r="H117" s="210">
        <v>0.16548740327894901</v>
      </c>
      <c r="I117" s="210">
        <v>-0.468819595184713</v>
      </c>
      <c r="J117" s="210">
        <v>-0.45984618881754302</v>
      </c>
      <c r="K117" s="210">
        <v>-3.6281189026781999E-2</v>
      </c>
      <c r="L117" s="211">
        <v>-2.2531237233573601E-2</v>
      </c>
      <c r="M117" s="209">
        <v>0.16696986609148901</v>
      </c>
      <c r="N117" s="210">
        <v>-6.0922825342326903E-3</v>
      </c>
      <c r="O117" s="210">
        <v>-0.18647082191516101</v>
      </c>
      <c r="P117" s="210"/>
      <c r="Q117" s="210"/>
      <c r="R117" s="210">
        <v>-5.7010412043796005E-4</v>
      </c>
      <c r="S117" s="211">
        <v>2.0854644459535599E-2</v>
      </c>
    </row>
    <row r="118" spans="5:19">
      <c r="E118" s="45" t="s">
        <v>2</v>
      </c>
      <c r="F118" s="209">
        <v>3.7006046651131802E-2</v>
      </c>
      <c r="G118" s="210">
        <v>0.17036383326263099</v>
      </c>
      <c r="H118" s="210">
        <v>0.12568762575341499</v>
      </c>
      <c r="I118" s="210">
        <v>-0.40596750964155298</v>
      </c>
      <c r="J118" s="210">
        <v>-0.409574346099568</v>
      </c>
      <c r="K118" s="210">
        <v>-0.144827564474237</v>
      </c>
      <c r="L118" s="211">
        <v>-0.13864246108978201</v>
      </c>
      <c r="M118" s="209">
        <v>0.152942509020281</v>
      </c>
      <c r="N118" s="210">
        <v>7.9655260794528907E-2</v>
      </c>
      <c r="O118" s="210">
        <v>-5.8236302557237102E-3</v>
      </c>
      <c r="P118" s="210">
        <v>0.44717175191824998</v>
      </c>
      <c r="Q118" s="210">
        <v>0.44058922400253597</v>
      </c>
      <c r="R118" s="210">
        <v>-4.1843297599170298E-2</v>
      </c>
      <c r="S118" s="211">
        <v>-6.3677546278094604E-2</v>
      </c>
    </row>
    <row r="119" spans="5:19">
      <c r="E119" s="45" t="s">
        <v>3</v>
      </c>
      <c r="F119" s="209">
        <v>-2.4117295023238301E-2</v>
      </c>
      <c r="G119" s="210">
        <v>2.1229576841315101E-2</v>
      </c>
      <c r="H119" s="210">
        <v>-3.3933840811349002E-2</v>
      </c>
      <c r="I119" s="210">
        <v>-0.30392156862745101</v>
      </c>
      <c r="J119" s="210"/>
      <c r="K119" s="210">
        <v>-3.6379964855385603E-2</v>
      </c>
      <c r="L119" s="211">
        <v>9.2223797890650502E-4</v>
      </c>
      <c r="M119" s="209">
        <v>4.7021844836515003E-2</v>
      </c>
      <c r="N119" s="210">
        <v>2.7599721793286399E-2</v>
      </c>
      <c r="O119" s="210">
        <v>0.10081756602992301</v>
      </c>
      <c r="P119" s="210">
        <v>0.46485401320112402</v>
      </c>
      <c r="Q119" s="210"/>
      <c r="R119" s="210">
        <v>2.7299150234214802E-2</v>
      </c>
      <c r="S119" s="211">
        <v>4.8142400282001403E-2</v>
      </c>
    </row>
    <row r="120" spans="5:19">
      <c r="E120" s="45" t="s">
        <v>4</v>
      </c>
      <c r="F120" s="209">
        <v>0.44774950336167901</v>
      </c>
      <c r="G120" s="210">
        <v>0.450695533304447</v>
      </c>
      <c r="H120" s="210">
        <v>0.44134377740839398</v>
      </c>
      <c r="I120" s="210">
        <v>-0.49656357388316102</v>
      </c>
      <c r="J120" s="210"/>
      <c r="K120" s="210"/>
      <c r="L120" s="211"/>
      <c r="M120" s="209">
        <v>0.438056898132483</v>
      </c>
      <c r="N120" s="210">
        <v>0.46746130505279798</v>
      </c>
      <c r="O120" s="210">
        <v>0.34397545407043001</v>
      </c>
      <c r="P120" s="210">
        <v>0.48892120841468401</v>
      </c>
      <c r="Q120" s="210">
        <v>0.48263479830030098</v>
      </c>
      <c r="R120" s="210"/>
      <c r="S120" s="211"/>
    </row>
    <row r="121" spans="5:19">
      <c r="E121" s="45" t="s">
        <v>5</v>
      </c>
      <c r="F121" s="209">
        <v>0.401645632277149</v>
      </c>
      <c r="G121" s="210">
        <v>0.40235922397673901</v>
      </c>
      <c r="H121" s="210">
        <v>0.42617396502186899</v>
      </c>
      <c r="I121" s="210">
        <v>-0.24446689113355699</v>
      </c>
      <c r="J121" s="210"/>
      <c r="K121" s="210">
        <v>0.48412698412698402</v>
      </c>
      <c r="L121" s="211"/>
      <c r="M121" s="209">
        <v>0.42241761501077602</v>
      </c>
      <c r="N121" s="210">
        <v>0.44441919984629003</v>
      </c>
      <c r="O121" s="210">
        <v>0.398924928534586</v>
      </c>
      <c r="P121" s="210">
        <v>0.47664947049894102</v>
      </c>
      <c r="Q121" s="210">
        <v>0.45838404158518897</v>
      </c>
      <c r="R121" s="210"/>
      <c r="S121" s="211"/>
    </row>
    <row r="122" spans="5:19">
      <c r="E122" s="46" t="s">
        <v>6</v>
      </c>
      <c r="F122" s="212">
        <v>0.46706299511510802</v>
      </c>
      <c r="G122" s="213">
        <v>0.47770783165913</v>
      </c>
      <c r="H122" s="213">
        <v>0.475638469026267</v>
      </c>
      <c r="I122" s="213"/>
      <c r="J122" s="213">
        <v>0.36166666666666603</v>
      </c>
      <c r="K122" s="213">
        <v>-0.20422535211267601</v>
      </c>
      <c r="L122" s="214">
        <v>8.3333333333333301E-2</v>
      </c>
      <c r="M122" s="212"/>
      <c r="N122" s="213">
        <v>0.47108461991491002</v>
      </c>
      <c r="O122" s="213">
        <v>0.468691997154569</v>
      </c>
      <c r="P122" s="213">
        <v>0.47285963268967901</v>
      </c>
      <c r="Q122" s="213">
        <v>0.47152015777246498</v>
      </c>
      <c r="R122" s="213"/>
      <c r="S122" s="214"/>
    </row>
    <row r="123" spans="5:19">
      <c r="E123" s="44" t="s">
        <v>7</v>
      </c>
      <c r="F123" s="80">
        <v>6.4282303115092499E-3</v>
      </c>
      <c r="G123" s="81">
        <v>0.173242791723624</v>
      </c>
      <c r="H123" s="81">
        <v>0.16818113250938499</v>
      </c>
      <c r="I123" s="81">
        <v>-0.46130620893167001</v>
      </c>
      <c r="J123" s="81">
        <v>-0.46614308723484199</v>
      </c>
      <c r="K123" s="81">
        <v>1.23092881157391E-2</v>
      </c>
      <c r="L123" s="82">
        <v>1.55980730800451E-2</v>
      </c>
      <c r="M123" s="80">
        <v>0.16539098883471301</v>
      </c>
      <c r="N123" s="81">
        <v>9.5922440123630104E-2</v>
      </c>
      <c r="O123" s="81">
        <v>8.13170396929742E-4</v>
      </c>
      <c r="P123" s="81">
        <v>0.46848036926530501</v>
      </c>
      <c r="Q123" s="81">
        <v>0.45942604098180601</v>
      </c>
      <c r="R123" s="81">
        <v>9.9984956850832099E-2</v>
      </c>
      <c r="S123" s="82">
        <v>7.5183001923172899E-2</v>
      </c>
    </row>
    <row r="124" spans="5:19">
      <c r="E124" s="45" t="s">
        <v>8</v>
      </c>
      <c r="F124" s="83">
        <v>-0.16622703809425399</v>
      </c>
      <c r="G124" s="84">
        <v>-9.4511444590894696E-4</v>
      </c>
      <c r="H124" s="84">
        <v>0.16202640517104</v>
      </c>
      <c r="I124" s="84"/>
      <c r="J124" s="84"/>
      <c r="K124" s="84">
        <v>-2.1168918722018901E-2</v>
      </c>
      <c r="L124" s="85">
        <v>-1.8355324157345899E-2</v>
      </c>
      <c r="M124" s="83">
        <v>9.68399335291623E-2</v>
      </c>
      <c r="N124" s="84">
        <v>-4.4196595034216302E-2</v>
      </c>
      <c r="O124" s="84">
        <v>-0.16453062104244801</v>
      </c>
      <c r="P124" s="84">
        <v>0.46743576552731803</v>
      </c>
      <c r="Q124" s="84">
        <v>0.45536622920365499</v>
      </c>
      <c r="R124" s="84">
        <v>3.1203322499558199E-2</v>
      </c>
      <c r="S124" s="85">
        <v>2.0923455893924199E-2</v>
      </c>
    </row>
    <row r="125" spans="5:19">
      <c r="E125" s="45" t="s">
        <v>9</v>
      </c>
      <c r="F125" s="83">
        <v>-0.14671555463032401</v>
      </c>
      <c r="G125" s="84">
        <v>-0.105267336579261</v>
      </c>
      <c r="H125" s="84">
        <v>-1.28509969142577E-3</v>
      </c>
      <c r="I125" s="84">
        <v>-0.45169049147308599</v>
      </c>
      <c r="J125" s="84">
        <v>-0.442756410274118</v>
      </c>
      <c r="K125" s="84">
        <v>-8.5054951927254804E-2</v>
      </c>
      <c r="L125" s="85">
        <v>-7.2760641169861799E-3</v>
      </c>
      <c r="M125" s="83">
        <v>-2.8473420169660701E-2</v>
      </c>
      <c r="N125" s="84">
        <v>-0.17316116090330499</v>
      </c>
      <c r="O125" s="84">
        <v>-0.12069897043513</v>
      </c>
      <c r="P125" s="84">
        <v>0.39561146488499899</v>
      </c>
      <c r="Q125" s="84">
        <v>0.39097021884650301</v>
      </c>
      <c r="R125" s="84">
        <v>0.14391841530567201</v>
      </c>
      <c r="S125" s="85">
        <v>9.7395084993397302E-2</v>
      </c>
    </row>
    <row r="126" spans="5:19">
      <c r="E126" s="45" t="s">
        <v>10</v>
      </c>
      <c r="F126" s="83">
        <v>-3.5282881728610702E-2</v>
      </c>
      <c r="G126" s="84">
        <v>-3.6000773540697702E-2</v>
      </c>
      <c r="H126" s="84">
        <v>-3.9576251590506803E-2</v>
      </c>
      <c r="I126" s="84">
        <v>-0.201585695006747</v>
      </c>
      <c r="J126" s="84"/>
      <c r="K126" s="84">
        <v>-2.6878541307751001E-2</v>
      </c>
      <c r="L126" s="85">
        <v>-3.5482843402426897E-2</v>
      </c>
      <c r="M126" s="83">
        <v>1.90496152022205E-2</v>
      </c>
      <c r="N126" s="84">
        <v>-2.10228745239525E-2</v>
      </c>
      <c r="O126" s="84">
        <v>1.07335935080656E-2</v>
      </c>
      <c r="P126" s="84">
        <v>0.32669082125603799</v>
      </c>
      <c r="Q126" s="84"/>
      <c r="R126" s="84">
        <v>2.9424926319459099E-2</v>
      </c>
      <c r="S126" s="85">
        <v>1.86636842753613E-2</v>
      </c>
    </row>
    <row r="127" spans="5:19">
      <c r="E127" s="45" t="s">
        <v>11</v>
      </c>
      <c r="F127" s="83">
        <v>-0.442477781733493</v>
      </c>
      <c r="G127" s="84">
        <v>-0.44653335544279199</v>
      </c>
      <c r="H127" s="84">
        <v>-0.35795832872215699</v>
      </c>
      <c r="I127" s="84">
        <v>-0.49103127242350098</v>
      </c>
      <c r="J127" s="84">
        <v>-0.47902252970033499</v>
      </c>
      <c r="K127" s="84"/>
      <c r="L127" s="85"/>
      <c r="M127" s="83">
        <v>-0.43001176055395202</v>
      </c>
      <c r="N127" s="84">
        <v>-0.44517876729866401</v>
      </c>
      <c r="O127" s="84">
        <v>-0.44007874575026701</v>
      </c>
      <c r="P127" s="84">
        <v>-0.18965517241379301</v>
      </c>
      <c r="Q127" s="84"/>
      <c r="R127" s="84">
        <v>-9.1331269349845201E-2</v>
      </c>
      <c r="S127" s="85">
        <v>0.44893617021276599</v>
      </c>
    </row>
    <row r="128" spans="5:19">
      <c r="E128" s="45" t="s">
        <v>12</v>
      </c>
      <c r="F128" s="83">
        <v>-0.40549694034087702</v>
      </c>
      <c r="G128" s="84">
        <v>-0.44327696522288002</v>
      </c>
      <c r="H128" s="84">
        <v>-0.37573873008991798</v>
      </c>
      <c r="I128" s="84">
        <v>-0.47992129800786798</v>
      </c>
      <c r="J128" s="84">
        <v>-0.46009198022086001</v>
      </c>
      <c r="K128" s="84">
        <v>-0.219999999999999</v>
      </c>
      <c r="L128" s="85">
        <v>-0.314569536423841</v>
      </c>
      <c r="M128" s="83">
        <v>-0.398297614792951</v>
      </c>
      <c r="N128" s="84">
        <v>-0.40854290246817099</v>
      </c>
      <c r="O128" s="84">
        <v>-0.42260817889836</v>
      </c>
      <c r="P128" s="84">
        <v>0.11087225105016001</v>
      </c>
      <c r="Q128" s="84"/>
      <c r="R128" s="84">
        <v>-0.22102453102453101</v>
      </c>
      <c r="S128" s="85"/>
    </row>
    <row r="129" spans="5:19">
      <c r="E129" s="46" t="s">
        <v>13</v>
      </c>
      <c r="F129" s="86"/>
      <c r="G129" s="87">
        <v>-0.466440008603066</v>
      </c>
      <c r="H129" s="87">
        <v>-0.38778386264883102</v>
      </c>
      <c r="I129" s="87">
        <v>-0.47243476433528298</v>
      </c>
      <c r="J129" s="87">
        <v>-0.46026339080649697</v>
      </c>
      <c r="K129" s="87"/>
      <c r="L129" s="88">
        <v>-0.204545454545454</v>
      </c>
      <c r="M129" s="86">
        <v>-0.46882477099419001</v>
      </c>
      <c r="N129" s="87">
        <v>-0.47764888650850101</v>
      </c>
      <c r="O129" s="87">
        <v>-0.47352184687655902</v>
      </c>
      <c r="P129" s="87">
        <v>8.3333333333333301E-2</v>
      </c>
      <c r="Q129" s="87"/>
      <c r="R129" s="87">
        <v>-0.18701996927803299</v>
      </c>
      <c r="S129" s="88"/>
    </row>
  </sheetData>
  <mergeCells count="6">
    <mergeCell ref="E113:S113"/>
    <mergeCell ref="E22:S22"/>
    <mergeCell ref="E41:S41"/>
    <mergeCell ref="E59:S59"/>
    <mergeCell ref="E77:S77"/>
    <mergeCell ref="E95:S95"/>
  </mergeCells>
  <conditionalFormatting sqref="C7:C20">
    <cfRule type="colorScale" priority="1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1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1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1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16:S129">
    <cfRule type="colorScale" priority="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684E-17BE-3045-AD92-8269965FCEFA}">
  <dimension ref="B2:Z209"/>
  <sheetViews>
    <sheetView showGridLines="0" tabSelected="1" topLeftCell="A108" workbookViewId="0">
      <selection activeCell="C146" sqref="C146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9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/>
      <c r="E3" s="20"/>
      <c r="F3" s="21">
        <f>C7</f>
        <v>0.21862419966267599</v>
      </c>
      <c r="G3" s="22">
        <f>C8</f>
        <v>0.154900696283582</v>
      </c>
      <c r="H3" s="22">
        <f>C9</f>
        <v>6.55620714987417E-2</v>
      </c>
      <c r="I3" s="22">
        <f>C10</f>
        <v>0</v>
      </c>
      <c r="J3" s="22">
        <f>C11</f>
        <v>0</v>
      </c>
      <c r="K3" s="22">
        <f>C12</f>
        <v>0</v>
      </c>
      <c r="L3" s="23">
        <f>C13</f>
        <v>0</v>
      </c>
      <c r="M3" s="21">
        <f>C14</f>
        <v>0.21119454585664399</v>
      </c>
      <c r="N3" s="22">
        <f>C15</f>
        <v>0.14980854617629499</v>
      </c>
      <c r="O3" s="22">
        <f>C16</f>
        <v>5.5110818809721199E-2</v>
      </c>
      <c r="P3" s="22">
        <f>C17</f>
        <v>0</v>
      </c>
      <c r="Q3" s="22">
        <f>C18</f>
        <v>0</v>
      </c>
      <c r="R3" s="22">
        <f>C19</f>
        <v>0</v>
      </c>
      <c r="S3" s="23">
        <f>C20</f>
        <v>0</v>
      </c>
      <c r="U3" s="39" t="s">
        <v>17</v>
      </c>
      <c r="V3" s="38">
        <f>9.25*3600</f>
        <v>33300</v>
      </c>
      <c r="X3" s="77" t="s">
        <v>26</v>
      </c>
      <c r="Y3" s="76">
        <v>7834798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0.21862419966267599</v>
      </c>
      <c r="E7" s="44" t="s">
        <v>0</v>
      </c>
      <c r="F7" s="29">
        <v>0.35618403369552398</v>
      </c>
      <c r="G7" s="31">
        <v>0.24228966478922701</v>
      </c>
      <c r="H7" s="31">
        <v>0.56004735994374399</v>
      </c>
      <c r="I7" s="31">
        <v>0.89371023217827805</v>
      </c>
      <c r="J7" s="31">
        <v>1.71716333166104</v>
      </c>
      <c r="K7" s="31">
        <v>0.80007642573923798</v>
      </c>
      <c r="L7" s="33">
        <v>0.28542029124245899</v>
      </c>
      <c r="M7" s="29">
        <v>7.55592952703795E-3</v>
      </c>
      <c r="N7" s="31">
        <v>9.9785631653357798E-2</v>
      </c>
      <c r="O7" s="31">
        <v>0.263102784603159</v>
      </c>
      <c r="P7" s="31">
        <v>3.1434569855584099E-2</v>
      </c>
      <c r="Q7" s="31">
        <v>8.1577161318061905E-2</v>
      </c>
      <c r="R7" s="31">
        <v>8.55001907237255E-2</v>
      </c>
      <c r="S7" s="33">
        <v>0.10014156804192401</v>
      </c>
      <c r="U7" s="44" t="s">
        <v>0</v>
      </c>
      <c r="V7" s="8">
        <v>1.1545751351801186</v>
      </c>
      <c r="X7" s="44" t="s">
        <v>0</v>
      </c>
      <c r="Y7" s="47">
        <v>38678</v>
      </c>
    </row>
    <row r="8" spans="2:25">
      <c r="B8" s="45" t="s">
        <v>1</v>
      </c>
      <c r="C8" s="27">
        <v>0.154900696283582</v>
      </c>
      <c r="E8" s="45" t="s">
        <v>1</v>
      </c>
      <c r="F8" s="32">
        <v>0.28501352959330001</v>
      </c>
      <c r="G8" s="30">
        <v>0.35376247277709899</v>
      </c>
      <c r="H8" s="30">
        <v>0.33387696257461602</v>
      </c>
      <c r="I8" s="30">
        <v>0.48530069792089497</v>
      </c>
      <c r="J8" s="30">
        <v>1.19122538382635</v>
      </c>
      <c r="K8" s="30">
        <v>0.391992045733143</v>
      </c>
      <c r="L8" s="34">
        <v>0.15484814057558199</v>
      </c>
      <c r="M8" s="32">
        <v>0.142265334423922</v>
      </c>
      <c r="N8" s="30">
        <v>7.5983571022609601E-3</v>
      </c>
      <c r="O8" s="30">
        <v>9.6877814125152395E-2</v>
      </c>
      <c r="P8" s="30">
        <v>4.9123310718494399E-2</v>
      </c>
      <c r="Q8" s="30">
        <v>0.58721333774906803</v>
      </c>
      <c r="R8" s="30">
        <v>0.30995731985830099</v>
      </c>
      <c r="S8" s="34">
        <v>3.46055901343406E-2</v>
      </c>
      <c r="U8" s="45" t="s">
        <v>1</v>
      </c>
      <c r="V8" s="9">
        <v>1.4017953594141639</v>
      </c>
      <c r="X8" s="45" t="s">
        <v>1</v>
      </c>
      <c r="Y8" s="48">
        <v>47581</v>
      </c>
    </row>
    <row r="9" spans="2:25">
      <c r="B9" s="45" t="s">
        <v>2</v>
      </c>
      <c r="C9" s="27">
        <v>6.55620714987417E-2</v>
      </c>
      <c r="E9" s="45" t="s">
        <v>2</v>
      </c>
      <c r="F9" s="32">
        <v>6.75704579751925E-3</v>
      </c>
      <c r="G9" s="30">
        <v>6.6346965834635004E-3</v>
      </c>
      <c r="H9" s="30">
        <v>0.31325832393811398</v>
      </c>
      <c r="I9" s="30">
        <v>2.3373523062853501E-4</v>
      </c>
      <c r="J9" s="30">
        <v>1.9402585462811602E-2</v>
      </c>
      <c r="K9" s="30">
        <v>9.4149287383684895E-4</v>
      </c>
      <c r="L9" s="34">
        <v>3.6734112237707097E-8</v>
      </c>
      <c r="M9" s="32">
        <v>7.0708551025830298E-3</v>
      </c>
      <c r="N9" s="30">
        <v>1.47435889468141E-3</v>
      </c>
      <c r="O9" s="30">
        <v>1.5863897098768599E-2</v>
      </c>
      <c r="P9" s="30">
        <v>6.77512485591059E-2</v>
      </c>
      <c r="Q9" s="30">
        <v>0.43311881486259202</v>
      </c>
      <c r="R9" s="30">
        <v>5.8772888182703098E-2</v>
      </c>
      <c r="S9" s="34">
        <v>4.2609267109083602E-5</v>
      </c>
      <c r="U9" s="45" t="s">
        <v>2</v>
      </c>
      <c r="V9" s="9">
        <v>0.12135801499416118</v>
      </c>
      <c r="X9" s="45" t="s">
        <v>2</v>
      </c>
      <c r="Y9" s="48">
        <v>4199</v>
      </c>
    </row>
    <row r="10" spans="2:25">
      <c r="B10" s="45" t="s">
        <v>3</v>
      </c>
      <c r="C10" s="27">
        <v>0</v>
      </c>
      <c r="E10" s="45" t="s">
        <v>3</v>
      </c>
      <c r="F10" s="32">
        <v>5.7345302524721697E-3</v>
      </c>
      <c r="G10" s="30">
        <v>5.1180958855728499E-3</v>
      </c>
      <c r="H10" s="30">
        <v>2.6390631013328801E-2</v>
      </c>
      <c r="I10" s="30">
        <v>5.8252727050100199E-6</v>
      </c>
      <c r="J10" s="30">
        <v>5.7398922045005596E-3</v>
      </c>
      <c r="K10" s="30">
        <v>0.69611519958566004</v>
      </c>
      <c r="L10" s="34">
        <v>0.19244419496966</v>
      </c>
      <c r="M10" s="32">
        <v>7.1654679904157095E-4</v>
      </c>
      <c r="N10" s="30">
        <v>3.9894548631033E-4</v>
      </c>
      <c r="O10" s="30">
        <v>3.4959783901487802E-4</v>
      </c>
      <c r="P10" s="30">
        <v>2.83118755005413E-5</v>
      </c>
      <c r="Q10" s="30">
        <v>4.9037548120675005E-4</v>
      </c>
      <c r="R10" s="30">
        <v>0.26682485324864103</v>
      </c>
      <c r="S10" s="34">
        <v>0.53016591423704995</v>
      </c>
      <c r="U10" s="45" t="s">
        <v>3</v>
      </c>
      <c r="V10" s="9">
        <v>0.11001246842034405</v>
      </c>
      <c r="X10" s="45" t="s">
        <v>3</v>
      </c>
      <c r="Y10" s="48">
        <v>3692</v>
      </c>
    </row>
    <row r="11" spans="2:25">
      <c r="B11" s="45" t="s">
        <v>4</v>
      </c>
      <c r="C11" s="27">
        <v>0</v>
      </c>
      <c r="E11" s="45" t="s">
        <v>4</v>
      </c>
      <c r="F11" s="32">
        <v>7.8574479591396397E-4</v>
      </c>
      <c r="G11" s="30">
        <v>1.40793557472051E-3</v>
      </c>
      <c r="H11" s="30">
        <v>4.3827212955863698E-2</v>
      </c>
      <c r="I11" s="30">
        <v>6.7556032684636995E-5</v>
      </c>
      <c r="J11" s="30">
        <v>1.13105968811119E-2</v>
      </c>
      <c r="K11" s="30">
        <v>8.4328357605653704E-5</v>
      </c>
      <c r="L11" s="34">
        <v>2.9419683405156399E-8</v>
      </c>
      <c r="M11" s="32">
        <v>2.9400654386158801E-4</v>
      </c>
      <c r="N11" s="30">
        <v>1.56370137429654E-4</v>
      </c>
      <c r="O11" s="30">
        <v>5.6877771849545803E-4</v>
      </c>
      <c r="P11" s="30">
        <v>3.0360746820776101E-2</v>
      </c>
      <c r="Q11" s="30">
        <v>4.9041509868171899E-2</v>
      </c>
      <c r="R11" s="30">
        <v>3.9274631026661698E-3</v>
      </c>
      <c r="S11" s="34">
        <v>1.22212451139842E-17</v>
      </c>
      <c r="U11" s="45" t="s">
        <v>4</v>
      </c>
      <c r="V11" s="9">
        <v>2.3729921727735134E-2</v>
      </c>
      <c r="X11" s="45" t="s">
        <v>4</v>
      </c>
      <c r="Y11" s="48">
        <v>803</v>
      </c>
    </row>
    <row r="12" spans="2:25">
      <c r="B12" s="45" t="s">
        <v>5</v>
      </c>
      <c r="C12" s="27">
        <v>0</v>
      </c>
      <c r="E12" s="45" t="s">
        <v>5</v>
      </c>
      <c r="F12" s="32">
        <v>5.0906601663739601E-3</v>
      </c>
      <c r="G12" s="30">
        <v>1.12299852964862E-2</v>
      </c>
      <c r="H12" s="30">
        <v>0.175523295728295</v>
      </c>
      <c r="I12" s="30">
        <v>5.6977759714126102E-5</v>
      </c>
      <c r="J12" s="30">
        <v>8.5584228771813805E-4</v>
      </c>
      <c r="K12" s="30">
        <v>9.5227280058565896E-4</v>
      </c>
      <c r="L12" s="34">
        <v>1.6031409776487599E-6</v>
      </c>
      <c r="M12" s="32">
        <v>3.9621026154965301E-4</v>
      </c>
      <c r="N12" s="30">
        <v>2.2832369168464099E-4</v>
      </c>
      <c r="O12" s="30">
        <v>5.2142255105127298E-4</v>
      </c>
      <c r="P12" s="30">
        <v>0.16152935924304401</v>
      </c>
      <c r="Q12" s="30">
        <v>0.22031226176501001</v>
      </c>
      <c r="R12" s="30">
        <v>5.9416141419018199E-4</v>
      </c>
      <c r="S12" s="34">
        <v>7.3114422279210397E-5</v>
      </c>
      <c r="U12" s="45" t="s">
        <v>5</v>
      </c>
      <c r="V12" s="9">
        <v>6.1510966572736248E-2</v>
      </c>
      <c r="X12" s="45" t="s">
        <v>5</v>
      </c>
      <c r="Y12" s="48">
        <v>2031</v>
      </c>
    </row>
    <row r="13" spans="2:25">
      <c r="B13" s="46" t="s">
        <v>6</v>
      </c>
      <c r="C13" s="28">
        <v>0</v>
      </c>
      <c r="E13" s="46" t="s">
        <v>6</v>
      </c>
      <c r="F13" s="37">
        <v>2.49308488897189E-3</v>
      </c>
      <c r="G13" s="36">
        <v>1.29624184448856E-2</v>
      </c>
      <c r="H13" s="36">
        <v>4.32622666478664E-2</v>
      </c>
      <c r="I13" s="36">
        <v>6.3735775954456897E-6</v>
      </c>
      <c r="J13" s="36">
        <v>3.9586672169002001E-4</v>
      </c>
      <c r="K13" s="36">
        <v>3.3649872017392201E-6</v>
      </c>
      <c r="L13" s="35">
        <v>2.7198332092807599E-3</v>
      </c>
      <c r="M13" s="37">
        <v>3.5753670510515103E-20</v>
      </c>
      <c r="N13" s="36">
        <v>3.1923629259890897E-5</v>
      </c>
      <c r="O13" s="36">
        <v>9.5631649679495894E-21</v>
      </c>
      <c r="P13" s="36">
        <v>0.24758105296239799</v>
      </c>
      <c r="Q13" s="36">
        <v>0.158235192459215</v>
      </c>
      <c r="R13" s="36">
        <v>1.6861550029640002E-2</v>
      </c>
      <c r="S13" s="35">
        <v>1.7660910379183999E-25</v>
      </c>
      <c r="U13" s="46" t="s">
        <v>6</v>
      </c>
      <c r="V13" s="10">
        <v>4.9037702058958486E-2</v>
      </c>
      <c r="X13" s="46" t="s">
        <v>6</v>
      </c>
      <c r="Y13" s="49">
        <v>1677</v>
      </c>
    </row>
    <row r="14" spans="2:25">
      <c r="B14" s="44" t="s">
        <v>7</v>
      </c>
      <c r="C14" s="8">
        <v>0.21119454585664399</v>
      </c>
      <c r="E14" s="44" t="s">
        <v>7</v>
      </c>
      <c r="F14" s="11">
        <v>7.3911643269948101E-3</v>
      </c>
      <c r="G14" s="12">
        <v>0.101014331962193</v>
      </c>
      <c r="H14" s="12">
        <v>0.24596776194432299</v>
      </c>
      <c r="I14" s="12">
        <v>3.6862040867672301E-2</v>
      </c>
      <c r="J14" s="12">
        <v>9.6745543740249101E-2</v>
      </c>
      <c r="K14" s="12">
        <v>9.6487003047853306E-2</v>
      </c>
      <c r="L14" s="13">
        <v>0.11943835879301599</v>
      </c>
      <c r="M14" s="11">
        <v>0.35834174395901802</v>
      </c>
      <c r="N14" s="12">
        <v>0.24387069803658301</v>
      </c>
      <c r="O14" s="12">
        <v>0.56672998648746697</v>
      </c>
      <c r="P14" s="12">
        <v>0.89796723783387999</v>
      </c>
      <c r="Q14" s="12">
        <v>1.72919437986369</v>
      </c>
      <c r="R14" s="12">
        <v>0.80654174955553704</v>
      </c>
      <c r="S14" s="13">
        <v>0.26179838186055898</v>
      </c>
      <c r="U14" s="44" t="s">
        <v>7</v>
      </c>
      <c r="V14" s="8">
        <v>1.3006822643156493</v>
      </c>
      <c r="X14" s="44" t="s">
        <v>7</v>
      </c>
      <c r="Y14" s="47">
        <v>42878</v>
      </c>
    </row>
    <row r="15" spans="2:25">
      <c r="B15" s="45" t="s">
        <v>8</v>
      </c>
      <c r="C15" s="9">
        <v>0.14980854617629499</v>
      </c>
      <c r="E15" s="45" t="s">
        <v>8</v>
      </c>
      <c r="F15" s="14">
        <v>0.139351501313357</v>
      </c>
      <c r="G15" s="15">
        <v>7.40349603373768E-3</v>
      </c>
      <c r="H15" s="15">
        <v>9.7806437644045494E-2</v>
      </c>
      <c r="I15" s="15">
        <v>4.3528941675926101E-2</v>
      </c>
      <c r="J15" s="15">
        <v>0.57898598325325501</v>
      </c>
      <c r="K15" s="15">
        <v>0.29635163738866499</v>
      </c>
      <c r="L15" s="16">
        <v>4.0116501134928297E-2</v>
      </c>
      <c r="M15" s="14">
        <v>0.28463332187852602</v>
      </c>
      <c r="N15" s="15">
        <v>0.34977715871124199</v>
      </c>
      <c r="O15" s="15">
        <v>0.32112980236190197</v>
      </c>
      <c r="P15" s="15">
        <v>0.50366739477361</v>
      </c>
      <c r="Q15" s="15">
        <v>1.2433502655369999</v>
      </c>
      <c r="R15" s="15">
        <v>0.465852831105948</v>
      </c>
      <c r="S15" s="16">
        <v>0.17585987551624099</v>
      </c>
      <c r="U15" s="45" t="s">
        <v>8</v>
      </c>
      <c r="V15" s="9">
        <v>1.2582539332841332</v>
      </c>
      <c r="X15" s="45" t="s">
        <v>8</v>
      </c>
      <c r="Y15" s="48">
        <v>42240</v>
      </c>
    </row>
    <row r="16" spans="2:25">
      <c r="B16" s="45" t="s">
        <v>9</v>
      </c>
      <c r="C16" s="9">
        <v>5.5110818809721199E-2</v>
      </c>
      <c r="E16" s="45" t="s">
        <v>9</v>
      </c>
      <c r="F16" s="14">
        <v>7.6454425663834103E-3</v>
      </c>
      <c r="G16" s="15">
        <v>1.04192458994416E-3</v>
      </c>
      <c r="H16" s="15">
        <v>1.76319870883078E-2</v>
      </c>
      <c r="I16" s="15">
        <v>6.6280733159308797E-2</v>
      </c>
      <c r="J16" s="15">
        <v>0.42142405850325798</v>
      </c>
      <c r="K16" s="15">
        <v>5.1008283409249101E-2</v>
      </c>
      <c r="L16" s="16">
        <v>1.00400913085292E-4</v>
      </c>
      <c r="M16" s="14">
        <v>6.0782095767028498E-3</v>
      </c>
      <c r="N16" s="15">
        <v>6.8947002080318297E-3</v>
      </c>
      <c r="O16" s="15">
        <v>0.32776509727905401</v>
      </c>
      <c r="P16" s="15">
        <v>2.29924047701421E-4</v>
      </c>
      <c r="Q16" s="15">
        <v>1.7517437751723999E-2</v>
      </c>
      <c r="R16" s="15">
        <v>2.1977730971183699E-3</v>
      </c>
      <c r="S16" s="16">
        <v>5.4393697204111798E-5</v>
      </c>
      <c r="U16" s="45" t="s">
        <v>9</v>
      </c>
      <c r="V16" s="9">
        <v>0.10817500228292913</v>
      </c>
      <c r="X16" s="45" t="s">
        <v>9</v>
      </c>
      <c r="Y16" s="48">
        <v>3593</v>
      </c>
    </row>
    <row r="17" spans="2:25">
      <c r="B17" s="45" t="s">
        <v>10</v>
      </c>
      <c r="C17" s="9">
        <v>0</v>
      </c>
      <c r="E17" s="45" t="s">
        <v>10</v>
      </c>
      <c r="F17" s="14">
        <v>4.6800615563838801E-4</v>
      </c>
      <c r="G17" s="15">
        <v>3.3052872192671997E-4</v>
      </c>
      <c r="H17" s="15">
        <v>3.5321772571397602E-4</v>
      </c>
      <c r="I17" s="15">
        <v>1.20640642904436E-5</v>
      </c>
      <c r="J17" s="15">
        <v>1.75103027658298E-3</v>
      </c>
      <c r="K17" s="15">
        <v>0.27040836019681702</v>
      </c>
      <c r="L17" s="16">
        <v>0.53180583354495103</v>
      </c>
      <c r="M17" s="14">
        <v>5.4450522607189999E-3</v>
      </c>
      <c r="N17" s="15">
        <v>5.0257591007330299E-3</v>
      </c>
      <c r="O17" s="15">
        <v>3.2585064980383403E-2</v>
      </c>
      <c r="P17" s="15">
        <v>2.3442128748832999E-5</v>
      </c>
      <c r="Q17" s="15">
        <v>9.8406628836107402E-3</v>
      </c>
      <c r="R17" s="15">
        <v>0.70719818039133897</v>
      </c>
      <c r="S17" s="16">
        <v>0.18032275980429599</v>
      </c>
      <c r="U17" s="45" t="s">
        <v>10</v>
      </c>
      <c r="V17" s="9">
        <v>0.10972977861672661</v>
      </c>
      <c r="X17" s="45" t="s">
        <v>10</v>
      </c>
      <c r="Y17" s="48">
        <v>3748</v>
      </c>
    </row>
    <row r="18" spans="2:25">
      <c r="B18" s="45" t="s">
        <v>11</v>
      </c>
      <c r="C18" s="9">
        <v>0</v>
      </c>
      <c r="E18" s="45" t="s">
        <v>11</v>
      </c>
      <c r="F18" s="14">
        <v>2.7978048651509799E-4</v>
      </c>
      <c r="G18" s="15">
        <v>1.5044197659823001E-4</v>
      </c>
      <c r="H18" s="15">
        <v>7.5506621245402495E-4</v>
      </c>
      <c r="I18" s="15">
        <v>3.1338661858948097E-2</v>
      </c>
      <c r="J18" s="15">
        <v>4.8528677204289203E-2</v>
      </c>
      <c r="K18" s="15">
        <v>5.2539698918377901E-3</v>
      </c>
      <c r="L18" s="16">
        <v>3.6185690612255602E-5</v>
      </c>
      <c r="M18" s="14">
        <v>6.6752711497842403E-4</v>
      </c>
      <c r="N18" s="15">
        <v>1.3277386772911899E-3</v>
      </c>
      <c r="O18" s="15">
        <v>4.54515113469523E-2</v>
      </c>
      <c r="P18" s="15">
        <v>7.5198707705764902E-5</v>
      </c>
      <c r="Q18" s="15">
        <v>8.3918701808823205E-3</v>
      </c>
      <c r="R18" s="15">
        <v>1.6519929137677E-4</v>
      </c>
      <c r="S18" s="16">
        <v>1.8248913013050101E-5</v>
      </c>
      <c r="U18" s="45" t="s">
        <v>11</v>
      </c>
      <c r="V18" s="9">
        <v>2.4188497548199381E-2</v>
      </c>
      <c r="X18" s="45" t="s">
        <v>11</v>
      </c>
      <c r="Y18" s="48">
        <v>773</v>
      </c>
    </row>
    <row r="19" spans="2:25">
      <c r="B19" s="45" t="s">
        <v>12</v>
      </c>
      <c r="C19" s="9">
        <v>0</v>
      </c>
      <c r="E19" s="45" t="s">
        <v>12</v>
      </c>
      <c r="F19" s="14">
        <v>5.8884182435408195E-4</v>
      </c>
      <c r="G19" s="15">
        <v>2.9354340397652102E-4</v>
      </c>
      <c r="H19" s="15">
        <v>5.6371553203186204E-4</v>
      </c>
      <c r="I19" s="15">
        <v>0.16461426952304301</v>
      </c>
      <c r="J19" s="15">
        <v>0.22172386509441899</v>
      </c>
      <c r="K19" s="15">
        <v>8.1502831461348704E-4</v>
      </c>
      <c r="L19" s="16">
        <v>3.8403385090784698E-5</v>
      </c>
      <c r="M19" s="14">
        <v>5.2244936984887297E-3</v>
      </c>
      <c r="N19" s="15">
        <v>1.0812146846203401E-2</v>
      </c>
      <c r="O19" s="15">
        <v>0.186292801058274</v>
      </c>
      <c r="P19" s="15">
        <v>1.71631851877759E-4</v>
      </c>
      <c r="Q19" s="15">
        <v>7.25325431426973E-4</v>
      </c>
      <c r="R19" s="15">
        <v>2.4457457885353E-4</v>
      </c>
      <c r="S19" s="16">
        <v>4.6014781231521603E-16</v>
      </c>
      <c r="U19" s="45" t="s">
        <v>12</v>
      </c>
      <c r="V19" s="9">
        <v>6.2897615441351709E-2</v>
      </c>
      <c r="X19" s="45" t="s">
        <v>12</v>
      </c>
      <c r="Y19" s="48">
        <v>2056</v>
      </c>
    </row>
    <row r="20" spans="2:25">
      <c r="B20" s="46" t="s">
        <v>13</v>
      </c>
      <c r="C20" s="10">
        <v>0</v>
      </c>
      <c r="E20" s="46" t="s">
        <v>13</v>
      </c>
      <c r="F20" s="17">
        <v>2.1412608720127399E-14</v>
      </c>
      <c r="G20" s="18">
        <v>4.2922693686631201E-5</v>
      </c>
      <c r="H20" s="18">
        <v>2.8009929254137701E-5</v>
      </c>
      <c r="I20" s="18">
        <v>0.25891518685950798</v>
      </c>
      <c r="J20" s="18">
        <v>0.16274771359711299</v>
      </c>
      <c r="K20" s="18">
        <v>1.9411754808730999E-2</v>
      </c>
      <c r="L20" s="19">
        <v>4.5702702949894303E-24</v>
      </c>
      <c r="M20" s="17">
        <v>2.3696751046791199E-3</v>
      </c>
      <c r="N20" s="18">
        <v>1.2212923170747399E-2</v>
      </c>
      <c r="O20" s="18">
        <v>4.46361740873834E-2</v>
      </c>
      <c r="P20" s="18">
        <v>1.3577134380230401E-4</v>
      </c>
      <c r="Q20" s="18">
        <v>8.0740361624109997E-4</v>
      </c>
      <c r="R20" s="18">
        <v>2.4614066678581698E-16</v>
      </c>
      <c r="S20" s="19">
        <v>2.2005302367896998E-3</v>
      </c>
      <c r="U20" s="46" t="s">
        <v>13</v>
      </c>
      <c r="V20" s="10">
        <v>4.8793949059702343E-2</v>
      </c>
      <c r="X20" s="46" t="s">
        <v>13</v>
      </c>
      <c r="Y20" s="49">
        <v>1657</v>
      </c>
    </row>
    <row r="22" spans="2:25">
      <c r="E22" s="227" t="s">
        <v>40</v>
      </c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9"/>
      <c r="V22" s="54">
        <f>Y22/V3</f>
        <v>5.8740540540540538</v>
      </c>
      <c r="X22" s="53" t="s">
        <v>20</v>
      </c>
      <c r="Y22" s="51">
        <f>SUM(Y7:Y20)</f>
        <v>195606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0.21862419966267599</v>
      </c>
      <c r="E25" s="1" t="s">
        <v>0</v>
      </c>
      <c r="F25" s="11">
        <v>0.35618403369552398</v>
      </c>
      <c r="G25" s="12">
        <v>0.24228966478922701</v>
      </c>
      <c r="H25" s="12">
        <v>0.56004735994374399</v>
      </c>
      <c r="I25" s="12">
        <v>0.89371023217827805</v>
      </c>
      <c r="J25" s="12">
        <v>1.71716333166104</v>
      </c>
      <c r="K25" s="12">
        <v>0.80007642573923798</v>
      </c>
      <c r="L25" s="13">
        <v>0.28542029124245899</v>
      </c>
      <c r="M25" s="11">
        <v>7.55592952703795E-3</v>
      </c>
      <c r="N25" s="12">
        <v>9.9785631653357798E-2</v>
      </c>
      <c r="O25" s="12">
        <v>0.263102784603159</v>
      </c>
      <c r="P25" s="12">
        <v>3.1434569855584099E-2</v>
      </c>
      <c r="Q25" s="12">
        <v>8.1577161318061905E-2</v>
      </c>
      <c r="R25" s="12">
        <v>8.55001907237255E-2</v>
      </c>
      <c r="S25" s="13">
        <v>0.10014156804192401</v>
      </c>
    </row>
    <row r="26" spans="2:25">
      <c r="B26" s="2" t="s">
        <v>1</v>
      </c>
      <c r="C26" s="9">
        <v>0.154900696283582</v>
      </c>
      <c r="E26" s="2" t="s">
        <v>1</v>
      </c>
      <c r="F26" s="14">
        <v>0.28501352959330001</v>
      </c>
      <c r="G26" s="15">
        <v>0.35376247277709899</v>
      </c>
      <c r="H26" s="15">
        <v>0.33387696257461602</v>
      </c>
      <c r="I26" s="15">
        <v>0.48530069792089497</v>
      </c>
      <c r="J26" s="15">
        <v>1.19122538382635</v>
      </c>
      <c r="K26" s="15">
        <v>0.391992045733143</v>
      </c>
      <c r="L26" s="16">
        <v>0.15484814057558199</v>
      </c>
      <c r="M26" s="14">
        <v>0.142265334423922</v>
      </c>
      <c r="N26" s="15">
        <v>7.5983571022609601E-3</v>
      </c>
      <c r="O26" s="15">
        <v>9.6877814125152395E-2</v>
      </c>
      <c r="P26" s="15">
        <v>4.9123310718494399E-2</v>
      </c>
      <c r="Q26" s="15">
        <v>0.58721333774906803</v>
      </c>
      <c r="R26" s="15">
        <v>0.30995731985830099</v>
      </c>
      <c r="S26" s="16">
        <v>3.46055901343406E-2</v>
      </c>
    </row>
    <row r="27" spans="2:25">
      <c r="B27" s="2" t="s">
        <v>2</v>
      </c>
      <c r="C27" s="9">
        <v>6.55620714987417E-2</v>
      </c>
      <c r="E27" s="2" t="s">
        <v>2</v>
      </c>
      <c r="F27" s="14">
        <v>6.75704579751925E-3</v>
      </c>
      <c r="G27" s="15">
        <v>6.6346965834635004E-3</v>
      </c>
      <c r="H27" s="15">
        <v>0.31325832393811398</v>
      </c>
      <c r="I27" s="15">
        <v>2.3373523062853501E-4</v>
      </c>
      <c r="J27" s="15">
        <v>1.9402585462811602E-2</v>
      </c>
      <c r="K27" s="15">
        <v>9.4149287383684895E-4</v>
      </c>
      <c r="L27" s="16">
        <v>3.6734112237707097E-8</v>
      </c>
      <c r="M27" s="14">
        <v>7.0708551025830298E-3</v>
      </c>
      <c r="N27" s="15">
        <v>1.47435889468141E-3</v>
      </c>
      <c r="O27" s="15">
        <v>1.5863897098768599E-2</v>
      </c>
      <c r="P27" s="15">
        <v>6.77512485591059E-2</v>
      </c>
      <c r="Q27" s="15">
        <v>0.43311881486259202</v>
      </c>
      <c r="R27" s="15">
        <v>5.8772888182703098E-2</v>
      </c>
      <c r="S27" s="16">
        <v>4.2609267109083602E-5</v>
      </c>
    </row>
    <row r="28" spans="2:25">
      <c r="B28" s="2" t="s">
        <v>3</v>
      </c>
      <c r="C28" s="9">
        <v>0</v>
      </c>
      <c r="E28" s="2" t="s">
        <v>3</v>
      </c>
      <c r="F28" s="14">
        <v>5.7345302524721697E-3</v>
      </c>
      <c r="G28" s="15">
        <v>5.1180958855728499E-3</v>
      </c>
      <c r="H28" s="15">
        <v>2.6390631013328801E-2</v>
      </c>
      <c r="I28" s="15">
        <v>5.8252727050100199E-6</v>
      </c>
      <c r="J28" s="15">
        <v>5.7398922045005596E-3</v>
      </c>
      <c r="K28" s="15">
        <v>0.69611519958566004</v>
      </c>
      <c r="L28" s="16">
        <v>0.19244419496966</v>
      </c>
      <c r="M28" s="14">
        <v>7.1654679904157095E-4</v>
      </c>
      <c r="N28" s="15">
        <v>3.9894548631033E-4</v>
      </c>
      <c r="O28" s="15">
        <v>3.4959783901487802E-4</v>
      </c>
      <c r="P28" s="15">
        <v>2.83118755005413E-5</v>
      </c>
      <c r="Q28" s="15">
        <v>4.9037548120675005E-4</v>
      </c>
      <c r="R28" s="15">
        <v>0.26682485324864103</v>
      </c>
      <c r="S28" s="16">
        <v>0.53016591423704995</v>
      </c>
    </row>
    <row r="29" spans="2:25">
      <c r="B29" s="2" t="s">
        <v>4</v>
      </c>
      <c r="C29" s="9">
        <v>0</v>
      </c>
      <c r="E29" s="2" t="s">
        <v>4</v>
      </c>
      <c r="F29" s="14">
        <v>7.8574479591396397E-4</v>
      </c>
      <c r="G29" s="15">
        <v>1.40793557472051E-3</v>
      </c>
      <c r="H29" s="15">
        <v>4.3827212955863698E-2</v>
      </c>
      <c r="I29" s="15">
        <v>6.7556032684636995E-5</v>
      </c>
      <c r="J29" s="15">
        <v>1.13105968811119E-2</v>
      </c>
      <c r="K29" s="15">
        <v>8.4328357605653704E-5</v>
      </c>
      <c r="L29" s="16">
        <v>2.9419683405156399E-8</v>
      </c>
      <c r="M29" s="14">
        <v>2.9400654386158801E-4</v>
      </c>
      <c r="N29" s="15">
        <v>1.56370137429654E-4</v>
      </c>
      <c r="O29" s="15">
        <v>5.6877771849545803E-4</v>
      </c>
      <c r="P29" s="15">
        <v>3.0360746820776101E-2</v>
      </c>
      <c r="Q29" s="15">
        <v>4.9041509868171899E-2</v>
      </c>
      <c r="R29" s="15">
        <v>3.9274631026661698E-3</v>
      </c>
      <c r="S29" s="16">
        <v>1.22212451139842E-17</v>
      </c>
    </row>
    <row r="30" spans="2:25">
      <c r="B30" s="2" t="s">
        <v>5</v>
      </c>
      <c r="C30" s="9">
        <v>0</v>
      </c>
      <c r="E30" s="2" t="s">
        <v>5</v>
      </c>
      <c r="F30" s="14">
        <v>5.0906601663739601E-3</v>
      </c>
      <c r="G30" s="15">
        <v>1.12299852964862E-2</v>
      </c>
      <c r="H30" s="15">
        <v>0.175523295728295</v>
      </c>
      <c r="I30" s="15">
        <v>5.6977759714126102E-5</v>
      </c>
      <c r="J30" s="15">
        <v>8.5584228771813805E-4</v>
      </c>
      <c r="K30" s="15">
        <v>9.5227280058565896E-4</v>
      </c>
      <c r="L30" s="16">
        <v>1.6031409776487599E-6</v>
      </c>
      <c r="M30" s="14">
        <v>3.9621026154965301E-4</v>
      </c>
      <c r="N30" s="15">
        <v>2.2832369168464099E-4</v>
      </c>
      <c r="O30" s="15">
        <v>5.2142255105127298E-4</v>
      </c>
      <c r="P30" s="15">
        <v>0.16152935924304401</v>
      </c>
      <c r="Q30" s="15">
        <v>0.22031226176501001</v>
      </c>
      <c r="R30" s="15">
        <v>5.9416141419018199E-4</v>
      </c>
      <c r="S30" s="16">
        <v>7.3114422279210397E-5</v>
      </c>
    </row>
    <row r="31" spans="2:25">
      <c r="B31" s="3" t="s">
        <v>6</v>
      </c>
      <c r="C31" s="10">
        <v>0</v>
      </c>
      <c r="E31" s="3" t="s">
        <v>6</v>
      </c>
      <c r="F31" s="17">
        <v>2.49308488897189E-3</v>
      </c>
      <c r="G31" s="18">
        <v>1.29624184448856E-2</v>
      </c>
      <c r="H31" s="18">
        <v>4.32622666478664E-2</v>
      </c>
      <c r="I31" s="18">
        <v>6.3735775954456897E-6</v>
      </c>
      <c r="J31" s="18">
        <v>3.9586672169002001E-4</v>
      </c>
      <c r="K31" s="18">
        <v>3.3649872017392201E-6</v>
      </c>
      <c r="L31" s="19">
        <v>2.7198332092807599E-3</v>
      </c>
      <c r="M31" s="17">
        <v>3.5753670510515103E-20</v>
      </c>
      <c r="N31" s="18">
        <v>3.1923629259890897E-5</v>
      </c>
      <c r="O31" s="18">
        <v>9.5631649679495894E-21</v>
      </c>
      <c r="P31" s="18">
        <v>0.24758105296239799</v>
      </c>
      <c r="Q31" s="18">
        <v>0.158235192459215</v>
      </c>
      <c r="R31" s="18">
        <v>1.6861550029640002E-2</v>
      </c>
      <c r="S31" s="19">
        <v>1.7660910379183999E-25</v>
      </c>
    </row>
    <row r="32" spans="2:25">
      <c r="B32" s="1" t="s">
        <v>7</v>
      </c>
      <c r="C32" s="8">
        <v>0.21119454585664399</v>
      </c>
      <c r="E32" s="1" t="s">
        <v>7</v>
      </c>
      <c r="F32" s="11">
        <v>7.3911643269948101E-3</v>
      </c>
      <c r="G32" s="12">
        <v>0.101014331962193</v>
      </c>
      <c r="H32" s="12">
        <v>0.24596776194432299</v>
      </c>
      <c r="I32" s="12">
        <v>3.6862040867672301E-2</v>
      </c>
      <c r="J32" s="12">
        <v>9.6745543740249101E-2</v>
      </c>
      <c r="K32" s="12">
        <v>9.6487003047853306E-2</v>
      </c>
      <c r="L32" s="13">
        <v>0.11943835879301599</v>
      </c>
      <c r="M32" s="11">
        <v>0.35834174395901802</v>
      </c>
      <c r="N32" s="12">
        <v>0.24387069803658301</v>
      </c>
      <c r="O32" s="12">
        <v>0.56672998648746697</v>
      </c>
      <c r="P32" s="12">
        <v>0.89796723783387999</v>
      </c>
      <c r="Q32" s="12">
        <v>1.72919437986369</v>
      </c>
      <c r="R32" s="12">
        <v>0.80654174955553704</v>
      </c>
      <c r="S32" s="13">
        <v>0.26179838186055898</v>
      </c>
    </row>
    <row r="33" spans="2:26">
      <c r="B33" s="2" t="s">
        <v>8</v>
      </c>
      <c r="C33" s="9">
        <v>0.14980854617629499</v>
      </c>
      <c r="E33" s="2" t="s">
        <v>8</v>
      </c>
      <c r="F33" s="14">
        <v>0.139351501313357</v>
      </c>
      <c r="G33" s="15">
        <v>7.40349603373768E-3</v>
      </c>
      <c r="H33" s="15">
        <v>9.7806437644045494E-2</v>
      </c>
      <c r="I33" s="15">
        <v>4.3528941675926101E-2</v>
      </c>
      <c r="J33" s="15">
        <v>0.57898598325325501</v>
      </c>
      <c r="K33" s="15">
        <v>0.29635163738866499</v>
      </c>
      <c r="L33" s="16">
        <v>4.0116501134928297E-2</v>
      </c>
      <c r="M33" s="14">
        <v>0.28463332187852602</v>
      </c>
      <c r="N33" s="15">
        <v>0.34977715871124199</v>
      </c>
      <c r="O33" s="15">
        <v>0.32112980236190197</v>
      </c>
      <c r="P33" s="15">
        <v>0.50366739477361</v>
      </c>
      <c r="Q33" s="15">
        <v>1.2433502655369999</v>
      </c>
      <c r="R33" s="15">
        <v>0.465852831105948</v>
      </c>
      <c r="S33" s="16">
        <v>0.17585987551624099</v>
      </c>
    </row>
    <row r="34" spans="2:26">
      <c r="B34" s="2" t="s">
        <v>9</v>
      </c>
      <c r="C34" s="9">
        <v>5.5110818809721199E-2</v>
      </c>
      <c r="E34" s="2" t="s">
        <v>9</v>
      </c>
      <c r="F34" s="14">
        <v>7.6454425663834103E-3</v>
      </c>
      <c r="G34" s="15">
        <v>1.04192458994416E-3</v>
      </c>
      <c r="H34" s="15">
        <v>1.76319870883078E-2</v>
      </c>
      <c r="I34" s="15">
        <v>6.6280733159308797E-2</v>
      </c>
      <c r="J34" s="15">
        <v>0.42142405850325798</v>
      </c>
      <c r="K34" s="15">
        <v>5.1008283409249101E-2</v>
      </c>
      <c r="L34" s="16">
        <v>1.00400913085292E-4</v>
      </c>
      <c r="M34" s="14">
        <v>6.0782095767028498E-3</v>
      </c>
      <c r="N34" s="15">
        <v>6.8947002080318297E-3</v>
      </c>
      <c r="O34" s="15">
        <v>0.32776509727905401</v>
      </c>
      <c r="P34" s="15">
        <v>2.29924047701421E-4</v>
      </c>
      <c r="Q34" s="15">
        <v>1.7517437751723999E-2</v>
      </c>
      <c r="R34" s="15">
        <v>2.1977730971183699E-3</v>
      </c>
      <c r="S34" s="16">
        <v>5.4393697204111798E-5</v>
      </c>
    </row>
    <row r="35" spans="2:26">
      <c r="B35" s="2" t="s">
        <v>10</v>
      </c>
      <c r="C35" s="9">
        <v>0</v>
      </c>
      <c r="E35" s="2" t="s">
        <v>10</v>
      </c>
      <c r="F35" s="14">
        <v>4.6800615563838801E-4</v>
      </c>
      <c r="G35" s="15">
        <v>3.3052872192671997E-4</v>
      </c>
      <c r="H35" s="15">
        <v>3.5321772571397602E-4</v>
      </c>
      <c r="I35" s="15">
        <v>1.20640642904436E-5</v>
      </c>
      <c r="J35" s="15">
        <v>1.75103027658298E-3</v>
      </c>
      <c r="K35" s="15">
        <v>0.27040836019681702</v>
      </c>
      <c r="L35" s="16">
        <v>0.53180583354495103</v>
      </c>
      <c r="M35" s="14">
        <v>5.4450522607189999E-3</v>
      </c>
      <c r="N35" s="15">
        <v>5.0257591007330299E-3</v>
      </c>
      <c r="O35" s="15">
        <v>3.2585064980383403E-2</v>
      </c>
      <c r="P35" s="15">
        <v>2.3442128748832999E-5</v>
      </c>
      <c r="Q35" s="15">
        <v>9.8406628836107402E-3</v>
      </c>
      <c r="R35" s="15">
        <v>0.70719818039133897</v>
      </c>
      <c r="S35" s="16">
        <v>0.18032275980429599</v>
      </c>
    </row>
    <row r="36" spans="2:26">
      <c r="B36" s="2" t="s">
        <v>11</v>
      </c>
      <c r="C36" s="9">
        <v>0</v>
      </c>
      <c r="E36" s="2" t="s">
        <v>11</v>
      </c>
      <c r="F36" s="14">
        <v>2.7978048651509799E-4</v>
      </c>
      <c r="G36" s="15">
        <v>1.5044197659823001E-4</v>
      </c>
      <c r="H36" s="15">
        <v>7.5506621245402495E-4</v>
      </c>
      <c r="I36" s="15">
        <v>3.1338661858948097E-2</v>
      </c>
      <c r="J36" s="15">
        <v>4.8528677204289203E-2</v>
      </c>
      <c r="K36" s="15">
        <v>5.2539698918377901E-3</v>
      </c>
      <c r="L36" s="16">
        <v>3.6185690612255602E-5</v>
      </c>
      <c r="M36" s="14">
        <v>6.6752711497842403E-4</v>
      </c>
      <c r="N36" s="15">
        <v>1.3277386772911899E-3</v>
      </c>
      <c r="O36" s="15">
        <v>4.54515113469523E-2</v>
      </c>
      <c r="P36" s="15">
        <v>7.5198707705764902E-5</v>
      </c>
      <c r="Q36" s="15">
        <v>8.3918701808823205E-3</v>
      </c>
      <c r="R36" s="15">
        <v>1.6519929137677E-4</v>
      </c>
      <c r="S36" s="16">
        <v>1.8248913013050101E-5</v>
      </c>
    </row>
    <row r="37" spans="2:26">
      <c r="B37" s="2" t="s">
        <v>12</v>
      </c>
      <c r="C37" s="9">
        <v>0</v>
      </c>
      <c r="E37" s="2" t="s">
        <v>12</v>
      </c>
      <c r="F37" s="14">
        <v>5.8884182435408195E-4</v>
      </c>
      <c r="G37" s="15">
        <v>2.9354340397652102E-4</v>
      </c>
      <c r="H37" s="15">
        <v>5.6371553203186204E-4</v>
      </c>
      <c r="I37" s="15">
        <v>0.16461426952304301</v>
      </c>
      <c r="J37" s="15">
        <v>0.22172386509441899</v>
      </c>
      <c r="K37" s="15">
        <v>8.1502831461348704E-4</v>
      </c>
      <c r="L37" s="16">
        <v>3.8403385090784698E-5</v>
      </c>
      <c r="M37" s="14">
        <v>5.2244936984887297E-3</v>
      </c>
      <c r="N37" s="15">
        <v>1.0812146846203401E-2</v>
      </c>
      <c r="O37" s="15">
        <v>0.186292801058274</v>
      </c>
      <c r="P37" s="15">
        <v>1.71631851877759E-4</v>
      </c>
      <c r="Q37" s="15">
        <v>7.25325431426973E-4</v>
      </c>
      <c r="R37" s="15">
        <v>2.4457457885353E-4</v>
      </c>
      <c r="S37" s="16">
        <v>4.6014781231521603E-16</v>
      </c>
    </row>
    <row r="38" spans="2:26">
      <c r="B38" s="3" t="s">
        <v>13</v>
      </c>
      <c r="C38" s="10">
        <v>0</v>
      </c>
      <c r="E38" s="3" t="s">
        <v>13</v>
      </c>
      <c r="F38" s="17">
        <v>2.1412608720127399E-14</v>
      </c>
      <c r="G38" s="18">
        <v>4.2922693686631201E-5</v>
      </c>
      <c r="H38" s="18">
        <v>2.8009929254137701E-5</v>
      </c>
      <c r="I38" s="18">
        <v>0.25891518685950798</v>
      </c>
      <c r="J38" s="18">
        <v>0.16274771359711299</v>
      </c>
      <c r="K38" s="18">
        <v>1.9411754808730999E-2</v>
      </c>
      <c r="L38" s="19">
        <v>4.5702702949894303E-24</v>
      </c>
      <c r="M38" s="17">
        <v>2.3696751046791199E-3</v>
      </c>
      <c r="N38" s="18">
        <v>1.2212923170747399E-2</v>
      </c>
      <c r="O38" s="18">
        <v>4.46361740873834E-2</v>
      </c>
      <c r="P38" s="18">
        <v>1.3577134380230401E-4</v>
      </c>
      <c r="Q38" s="18">
        <v>8.0740361624109997E-4</v>
      </c>
      <c r="R38" s="18">
        <v>2.4614066678581698E-16</v>
      </c>
      <c r="S38" s="19">
        <v>2.2005302367896998E-3</v>
      </c>
    </row>
    <row r="41" spans="2:26">
      <c r="E41" s="227" t="s">
        <v>33</v>
      </c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9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/>
      <c r="G44" s="56"/>
      <c r="H44" s="56"/>
      <c r="I44" s="56"/>
      <c r="J44" s="56"/>
      <c r="K44" s="56"/>
      <c r="L44" s="57"/>
      <c r="M44" s="55"/>
      <c r="N44" s="56"/>
      <c r="O44" s="56"/>
      <c r="P44" s="56"/>
      <c r="Q44" s="56"/>
      <c r="R44" s="56"/>
      <c r="S44" s="57"/>
      <c r="Y44" s="52" t="s">
        <v>37</v>
      </c>
      <c r="Z44" s="50">
        <f>Y22</f>
        <v>195606</v>
      </c>
    </row>
    <row r="45" spans="2:26">
      <c r="E45" s="45" t="s">
        <v>1</v>
      </c>
      <c r="F45" s="58"/>
      <c r="G45" s="59"/>
      <c r="H45" s="59"/>
      <c r="I45" s="59"/>
      <c r="J45" s="59"/>
      <c r="K45" s="59"/>
      <c r="L45" s="60"/>
      <c r="M45" s="58"/>
      <c r="N45" s="59"/>
      <c r="O45" s="59"/>
      <c r="P45" s="59"/>
      <c r="Q45" s="59"/>
      <c r="R45" s="59"/>
      <c r="S45" s="60"/>
      <c r="Y45" s="52" t="s">
        <v>24</v>
      </c>
      <c r="Z45" s="50">
        <f>SUM(Y9,Y11:Y12,Y16,Y18:Y19)</f>
        <v>13455</v>
      </c>
    </row>
    <row r="46" spans="2:26">
      <c r="E46" s="45" t="s">
        <v>2</v>
      </c>
      <c r="F46" s="58"/>
      <c r="G46" s="59"/>
      <c r="H46" s="59"/>
      <c r="I46" s="59"/>
      <c r="J46" s="59"/>
      <c r="K46" s="59"/>
      <c r="L46" s="60"/>
      <c r="M46" s="58"/>
      <c r="N46" s="59"/>
      <c r="O46" s="59"/>
      <c r="P46" s="59"/>
      <c r="Q46" s="59"/>
      <c r="R46" s="59"/>
      <c r="S46" s="60"/>
      <c r="Y46" s="52" t="s">
        <v>30</v>
      </c>
      <c r="Z46" s="50">
        <v>8616</v>
      </c>
    </row>
    <row r="47" spans="2:26">
      <c r="E47" s="45" t="s">
        <v>3</v>
      </c>
      <c r="F47" s="58"/>
      <c r="G47" s="59"/>
      <c r="H47" s="59"/>
      <c r="I47" s="59"/>
      <c r="J47" s="59"/>
      <c r="K47" s="59"/>
      <c r="L47" s="60"/>
      <c r="M47" s="58"/>
      <c r="N47" s="59"/>
      <c r="O47" s="59"/>
      <c r="P47" s="59"/>
      <c r="Q47" s="59"/>
      <c r="R47" s="59"/>
      <c r="S47" s="60"/>
      <c r="Y47" s="52" t="s">
        <v>28</v>
      </c>
      <c r="Z47" s="50">
        <v>17808</v>
      </c>
    </row>
    <row r="48" spans="2:26">
      <c r="E48" s="45" t="s">
        <v>4</v>
      </c>
      <c r="F48" s="58"/>
      <c r="G48" s="59"/>
      <c r="H48" s="59"/>
      <c r="I48" s="59"/>
      <c r="J48" s="59"/>
      <c r="K48" s="59"/>
      <c r="L48" s="60"/>
      <c r="M48" s="58"/>
      <c r="N48" s="59"/>
      <c r="O48" s="59"/>
      <c r="P48" s="59"/>
      <c r="Q48" s="59"/>
      <c r="R48" s="59"/>
      <c r="S48" s="60"/>
      <c r="Y48" s="52" t="s">
        <v>31</v>
      </c>
      <c r="Z48" s="78">
        <f>Z47/Z46</f>
        <v>2.0668523676880222</v>
      </c>
    </row>
    <row r="49" spans="5:26">
      <c r="E49" s="45" t="s">
        <v>5</v>
      </c>
      <c r="F49" s="58"/>
      <c r="G49" s="59"/>
      <c r="H49" s="59"/>
      <c r="I49" s="59"/>
      <c r="J49" s="59"/>
      <c r="K49" s="59"/>
      <c r="L49" s="60"/>
      <c r="M49" s="58"/>
      <c r="N49" s="59"/>
      <c r="O49" s="59"/>
      <c r="P49" s="59"/>
      <c r="Q49" s="59"/>
      <c r="R49" s="59"/>
      <c r="S49" s="60"/>
      <c r="Y49" s="52" t="s">
        <v>29</v>
      </c>
      <c r="Z49" s="79">
        <v>9.5171773444753943E-3</v>
      </c>
    </row>
    <row r="50" spans="5:26">
      <c r="E50" s="46" t="s">
        <v>6</v>
      </c>
      <c r="F50" s="61"/>
      <c r="G50" s="62"/>
      <c r="H50" s="62"/>
      <c r="I50" s="62"/>
      <c r="J50" s="62"/>
      <c r="K50" s="62"/>
      <c r="L50" s="63"/>
      <c r="M50" s="61"/>
      <c r="N50" s="62"/>
      <c r="O50" s="62"/>
      <c r="P50" s="62"/>
      <c r="Q50" s="62"/>
      <c r="R50" s="62"/>
      <c r="S50" s="63"/>
      <c r="Y50" s="52" t="s">
        <v>32</v>
      </c>
      <c r="Z50" s="50">
        <f>Z46*Z49</f>
        <v>82</v>
      </c>
    </row>
    <row r="51" spans="5:26">
      <c r="E51" s="44" t="s">
        <v>7</v>
      </c>
      <c r="F51" s="64"/>
      <c r="G51" s="65"/>
      <c r="H51" s="65"/>
      <c r="I51" s="65"/>
      <c r="J51" s="65"/>
      <c r="K51" s="65"/>
      <c r="L51" s="66"/>
      <c r="M51" s="64"/>
      <c r="N51" s="65"/>
      <c r="O51" s="65"/>
      <c r="P51" s="65"/>
      <c r="Q51" s="65"/>
      <c r="R51" s="65"/>
      <c r="S51" s="66"/>
      <c r="Y51" s="52" t="s">
        <v>27</v>
      </c>
      <c r="Z51" s="74">
        <v>0.28512848551120828</v>
      </c>
    </row>
    <row r="52" spans="5:26">
      <c r="E52" s="45" t="s">
        <v>8</v>
      </c>
      <c r="F52" s="67"/>
      <c r="G52" s="68"/>
      <c r="H52" s="68"/>
      <c r="I52" s="68"/>
      <c r="J52" s="68"/>
      <c r="K52" s="68"/>
      <c r="L52" s="69"/>
      <c r="M52" s="67"/>
      <c r="N52" s="68"/>
      <c r="O52" s="68"/>
      <c r="P52" s="68"/>
      <c r="Q52" s="68"/>
      <c r="R52" s="68"/>
      <c r="S52" s="69"/>
      <c r="Y52" s="52" t="s">
        <v>22</v>
      </c>
      <c r="Z52" s="74">
        <v>2.6979777135782088</v>
      </c>
    </row>
    <row r="53" spans="5:26">
      <c r="E53" s="45" t="s">
        <v>9</v>
      </c>
      <c r="F53" s="67"/>
      <c r="G53" s="68"/>
      <c r="H53" s="68"/>
      <c r="I53" s="68"/>
      <c r="J53" s="68"/>
      <c r="K53" s="68"/>
      <c r="L53" s="69"/>
      <c r="M53" s="67"/>
      <c r="N53" s="68"/>
      <c r="O53" s="68"/>
      <c r="P53" s="68"/>
      <c r="Q53" s="68"/>
      <c r="R53" s="68"/>
      <c r="S53" s="69"/>
      <c r="Y53" s="52" t="s">
        <v>23</v>
      </c>
      <c r="Z53" s="73">
        <v>2531</v>
      </c>
    </row>
    <row r="54" spans="5:26">
      <c r="E54" s="45" t="s">
        <v>10</v>
      </c>
      <c r="F54" s="67"/>
      <c r="G54" s="68"/>
      <c r="H54" s="68"/>
      <c r="I54" s="68"/>
      <c r="J54" s="68"/>
      <c r="K54" s="68"/>
      <c r="L54" s="69"/>
      <c r="M54" s="67"/>
      <c r="N54" s="68"/>
      <c r="O54" s="68"/>
      <c r="P54" s="68"/>
      <c r="Q54" s="68"/>
      <c r="R54" s="68"/>
      <c r="S54" s="69"/>
      <c r="Y54" s="52" t="s">
        <v>25</v>
      </c>
      <c r="Z54" s="75">
        <f>Z53/(Y10+Y17)</f>
        <v>0.34018817204301077</v>
      </c>
    </row>
    <row r="55" spans="5:26">
      <c r="E55" s="45" t="s">
        <v>11</v>
      </c>
      <c r="F55" s="67"/>
      <c r="G55" s="68"/>
      <c r="H55" s="68"/>
      <c r="I55" s="68"/>
      <c r="J55" s="68"/>
      <c r="K55" s="68"/>
      <c r="L55" s="69"/>
      <c r="M55" s="67"/>
      <c r="N55" s="68"/>
      <c r="O55" s="68"/>
      <c r="P55" s="68"/>
      <c r="Q55" s="68"/>
      <c r="R55" s="68"/>
      <c r="S55" s="69"/>
    </row>
    <row r="56" spans="5:26">
      <c r="E56" s="45" t="s">
        <v>12</v>
      </c>
      <c r="F56" s="67"/>
      <c r="G56" s="68"/>
      <c r="H56" s="68"/>
      <c r="I56" s="68"/>
      <c r="J56" s="68"/>
      <c r="K56" s="68"/>
      <c r="L56" s="69"/>
      <c r="M56" s="67"/>
      <c r="N56" s="68"/>
      <c r="O56" s="68"/>
      <c r="P56" s="68"/>
      <c r="Q56" s="68"/>
      <c r="R56" s="68"/>
      <c r="S56" s="69"/>
    </row>
    <row r="57" spans="5:26">
      <c r="E57" s="46" t="s">
        <v>13</v>
      </c>
      <c r="F57" s="70"/>
      <c r="G57" s="71"/>
      <c r="H57" s="71"/>
      <c r="I57" s="71"/>
      <c r="J57" s="71"/>
      <c r="K57" s="71"/>
      <c r="L57" s="72"/>
      <c r="M57" s="70"/>
      <c r="N57" s="71"/>
      <c r="O57" s="71"/>
      <c r="P57" s="71"/>
      <c r="Q57" s="71"/>
      <c r="R57" s="71"/>
      <c r="S57" s="72"/>
    </row>
    <row r="59" spans="5:26">
      <c r="E59" s="227" t="s">
        <v>34</v>
      </c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9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55">
        <v>61541</v>
      </c>
      <c r="G62" s="56">
        <v>53075</v>
      </c>
      <c r="H62" s="56">
        <v>4265</v>
      </c>
      <c r="I62" s="56">
        <v>7659</v>
      </c>
      <c r="J62" s="56">
        <v>785</v>
      </c>
      <c r="K62" s="56">
        <v>2607</v>
      </c>
      <c r="L62" s="57">
        <v>1968</v>
      </c>
      <c r="M62" s="55">
        <v>16711</v>
      </c>
      <c r="N62" s="56">
        <v>25544</v>
      </c>
      <c r="O62" s="56">
        <v>1903</v>
      </c>
      <c r="P62" s="56">
        <v>1707</v>
      </c>
      <c r="Q62" s="56">
        <v>109</v>
      </c>
      <c r="R62" s="56">
        <v>739</v>
      </c>
      <c r="S62" s="57">
        <v>1219</v>
      </c>
      <c r="U62" s="44" t="s">
        <v>0</v>
      </c>
      <c r="V62" s="8">
        <f>Y62/V$3</f>
        <v>5.4003603603603603</v>
      </c>
      <c r="X62" s="44" t="s">
        <v>0</v>
      </c>
      <c r="Y62" s="47">
        <f>SUM(F62:S62)</f>
        <v>179832</v>
      </c>
    </row>
    <row r="63" spans="5:26">
      <c r="E63" s="204" t="s">
        <v>1</v>
      </c>
      <c r="F63" s="58">
        <v>56539</v>
      </c>
      <c r="G63" s="59">
        <v>63755</v>
      </c>
      <c r="H63" s="59">
        <v>2971</v>
      </c>
      <c r="I63" s="59">
        <v>5179</v>
      </c>
      <c r="J63" s="59">
        <v>584</v>
      </c>
      <c r="K63" s="59">
        <v>1301</v>
      </c>
      <c r="L63" s="60">
        <v>1559</v>
      </c>
      <c r="M63" s="58">
        <v>27298</v>
      </c>
      <c r="N63" s="59">
        <v>16205</v>
      </c>
      <c r="O63" s="59">
        <v>1027</v>
      </c>
      <c r="P63" s="59">
        <v>5</v>
      </c>
      <c r="Q63" s="59">
        <v>1</v>
      </c>
      <c r="R63" s="59">
        <v>782</v>
      </c>
      <c r="S63" s="60">
        <v>1181</v>
      </c>
      <c r="U63" s="45" t="s">
        <v>1</v>
      </c>
      <c r="V63" s="9">
        <f t="shared" ref="V63:V75" si="0">Y63/V$3</f>
        <v>5.3569669669669668</v>
      </c>
      <c r="X63" s="45" t="s">
        <v>1</v>
      </c>
      <c r="Y63" s="48">
        <f t="shared" ref="Y63:Y75" si="1">SUM(F63:S63)</f>
        <v>178387</v>
      </c>
    </row>
    <row r="64" spans="5:26">
      <c r="E64" s="204" t="s">
        <v>2</v>
      </c>
      <c r="F64" s="58">
        <v>3535</v>
      </c>
      <c r="G64" s="59">
        <v>2885</v>
      </c>
      <c r="H64" s="59">
        <v>2032</v>
      </c>
      <c r="I64" s="59">
        <v>57</v>
      </c>
      <c r="J64" s="59">
        <v>12</v>
      </c>
      <c r="K64" s="59">
        <v>47</v>
      </c>
      <c r="L64" s="60">
        <v>19</v>
      </c>
      <c r="M64" s="58">
        <v>3652</v>
      </c>
      <c r="N64" s="59">
        <v>2694</v>
      </c>
      <c r="O64" s="59">
        <v>96</v>
      </c>
      <c r="P64" s="59">
        <v>326</v>
      </c>
      <c r="Q64" s="59">
        <v>111</v>
      </c>
      <c r="R64" s="59">
        <v>25</v>
      </c>
      <c r="S64" s="60">
        <v>19</v>
      </c>
      <c r="U64" s="45" t="s">
        <v>2</v>
      </c>
      <c r="V64" s="9">
        <f t="shared" si="0"/>
        <v>0.46576576576576578</v>
      </c>
      <c r="X64" s="45" t="s">
        <v>2</v>
      </c>
      <c r="Y64" s="48">
        <f t="shared" si="1"/>
        <v>15510</v>
      </c>
    </row>
    <row r="65" spans="5:25">
      <c r="E65" s="204" t="s">
        <v>3</v>
      </c>
      <c r="F65" s="58">
        <v>4404</v>
      </c>
      <c r="G65" s="59">
        <v>3487</v>
      </c>
      <c r="H65" s="59">
        <v>261</v>
      </c>
      <c r="I65" s="59">
        <v>21</v>
      </c>
      <c r="J65" s="59"/>
      <c r="K65" s="59">
        <v>3495</v>
      </c>
      <c r="L65" s="60">
        <v>622</v>
      </c>
      <c r="M65" s="58">
        <v>1932</v>
      </c>
      <c r="N65" s="59">
        <v>1462</v>
      </c>
      <c r="O65" s="59">
        <v>40</v>
      </c>
      <c r="P65" s="59">
        <v>51</v>
      </c>
      <c r="Q65" s="59">
        <v>2</v>
      </c>
      <c r="R65" s="59">
        <v>1020</v>
      </c>
      <c r="S65" s="60">
        <v>1770</v>
      </c>
      <c r="U65" s="45" t="s">
        <v>3</v>
      </c>
      <c r="V65" s="9">
        <f t="shared" si="0"/>
        <v>0.55756756756756753</v>
      </c>
      <c r="X65" s="45" t="s">
        <v>3</v>
      </c>
      <c r="Y65" s="48">
        <f t="shared" si="1"/>
        <v>18567</v>
      </c>
    </row>
    <row r="66" spans="5:25">
      <c r="E66" s="204" t="s">
        <v>4</v>
      </c>
      <c r="F66" s="58">
        <v>402</v>
      </c>
      <c r="G66" s="59">
        <v>398</v>
      </c>
      <c r="H66" s="59">
        <v>384</v>
      </c>
      <c r="I66" s="59">
        <v>14</v>
      </c>
      <c r="J66" s="59">
        <v>5</v>
      </c>
      <c r="K66" s="59">
        <v>5</v>
      </c>
      <c r="L66" s="60">
        <v>1</v>
      </c>
      <c r="M66" s="58">
        <v>235</v>
      </c>
      <c r="N66" s="59">
        <v>281</v>
      </c>
      <c r="O66" s="59">
        <v>10</v>
      </c>
      <c r="P66" s="59">
        <v>188</v>
      </c>
      <c r="Q66" s="59">
        <v>23</v>
      </c>
      <c r="R66" s="59">
        <v>3</v>
      </c>
      <c r="S66" s="60"/>
      <c r="U66" s="45" t="s">
        <v>4</v>
      </c>
      <c r="V66" s="9">
        <f t="shared" si="0"/>
        <v>5.852852852852853E-2</v>
      </c>
      <c r="X66" s="45" t="s">
        <v>4</v>
      </c>
      <c r="Y66" s="48">
        <f t="shared" si="1"/>
        <v>1949</v>
      </c>
    </row>
    <row r="67" spans="5:25">
      <c r="E67" s="204" t="s">
        <v>5</v>
      </c>
      <c r="F67" s="58">
        <v>2367</v>
      </c>
      <c r="G67" s="59">
        <v>2456</v>
      </c>
      <c r="H67" s="59">
        <v>1739</v>
      </c>
      <c r="I67" s="59">
        <v>39</v>
      </c>
      <c r="J67" s="59">
        <v>2</v>
      </c>
      <c r="K67" s="59">
        <v>27</v>
      </c>
      <c r="L67" s="60">
        <v>1</v>
      </c>
      <c r="M67" s="58">
        <v>632</v>
      </c>
      <c r="N67" s="59">
        <v>1291</v>
      </c>
      <c r="O67" s="59">
        <v>35</v>
      </c>
      <c r="P67" s="59">
        <v>1364</v>
      </c>
      <c r="Q67" s="59">
        <v>127</v>
      </c>
      <c r="R67" s="59">
        <v>10</v>
      </c>
      <c r="S67" s="60">
        <v>8</v>
      </c>
      <c r="U67" s="45" t="s">
        <v>5</v>
      </c>
      <c r="V67" s="9">
        <f t="shared" si="0"/>
        <v>0.30324324324324325</v>
      </c>
      <c r="X67" s="45" t="s">
        <v>5</v>
      </c>
      <c r="Y67" s="48">
        <f t="shared" si="1"/>
        <v>10098</v>
      </c>
    </row>
    <row r="68" spans="5:25">
      <c r="E68" s="205" t="s">
        <v>6</v>
      </c>
      <c r="F68" s="61">
        <v>1476</v>
      </c>
      <c r="G68" s="62">
        <v>2921</v>
      </c>
      <c r="H68" s="62">
        <v>533</v>
      </c>
      <c r="I68" s="62">
        <v>18</v>
      </c>
      <c r="J68" s="62">
        <v>3</v>
      </c>
      <c r="K68" s="62">
        <v>4</v>
      </c>
      <c r="L68" s="63">
        <v>10</v>
      </c>
      <c r="M68" s="61">
        <v>3</v>
      </c>
      <c r="N68" s="62">
        <v>1289</v>
      </c>
      <c r="O68" s="62">
        <v>9</v>
      </c>
      <c r="P68" s="62">
        <v>1916</v>
      </c>
      <c r="Q68" s="62">
        <v>109</v>
      </c>
      <c r="R68" s="62">
        <v>5</v>
      </c>
      <c r="S68" s="63"/>
      <c r="U68" s="46" t="s">
        <v>6</v>
      </c>
      <c r="V68" s="10">
        <f t="shared" si="0"/>
        <v>0.24912912912912913</v>
      </c>
      <c r="X68" s="46" t="s">
        <v>6</v>
      </c>
      <c r="Y68" s="49">
        <f t="shared" si="1"/>
        <v>8296</v>
      </c>
    </row>
    <row r="69" spans="5:25">
      <c r="E69" s="204" t="s">
        <v>7</v>
      </c>
      <c r="F69" s="64">
        <v>16544</v>
      </c>
      <c r="G69" s="65">
        <v>26125</v>
      </c>
      <c r="H69" s="65">
        <v>2053</v>
      </c>
      <c r="I69" s="65">
        <v>1746</v>
      </c>
      <c r="J69" s="65">
        <v>150</v>
      </c>
      <c r="K69" s="65">
        <v>793</v>
      </c>
      <c r="L69" s="66">
        <v>1200</v>
      </c>
      <c r="M69" s="64">
        <v>62288</v>
      </c>
      <c r="N69" s="65">
        <v>54142</v>
      </c>
      <c r="O69" s="65">
        <v>3899</v>
      </c>
      <c r="P69" s="65">
        <v>7642</v>
      </c>
      <c r="Q69" s="65">
        <v>879</v>
      </c>
      <c r="R69" s="65">
        <v>2591</v>
      </c>
      <c r="S69" s="66">
        <v>1884</v>
      </c>
      <c r="U69" s="44" t="s">
        <v>7</v>
      </c>
      <c r="V69" s="8">
        <f t="shared" si="0"/>
        <v>5.4635435435435431</v>
      </c>
      <c r="X69" s="44" t="s">
        <v>7</v>
      </c>
      <c r="Y69" s="47">
        <f t="shared" si="1"/>
        <v>181936</v>
      </c>
    </row>
    <row r="70" spans="5:25">
      <c r="E70" s="204" t="s">
        <v>8</v>
      </c>
      <c r="F70" s="67">
        <v>26802</v>
      </c>
      <c r="G70" s="68">
        <v>16586</v>
      </c>
      <c r="H70" s="68">
        <v>1095</v>
      </c>
      <c r="I70" s="68"/>
      <c r="J70" s="68"/>
      <c r="K70" s="68">
        <v>808</v>
      </c>
      <c r="L70" s="69">
        <v>1132</v>
      </c>
      <c r="M70" s="67">
        <v>57059</v>
      </c>
      <c r="N70" s="68">
        <v>63718</v>
      </c>
      <c r="O70" s="68">
        <v>2632</v>
      </c>
      <c r="P70" s="68">
        <v>5227</v>
      </c>
      <c r="Q70" s="68">
        <v>566</v>
      </c>
      <c r="R70" s="68">
        <v>1376</v>
      </c>
      <c r="S70" s="69">
        <v>1645</v>
      </c>
      <c r="U70" s="45" t="s">
        <v>8</v>
      </c>
      <c r="V70" s="9">
        <f t="shared" si="0"/>
        <v>5.3647447447447449</v>
      </c>
      <c r="X70" s="45" t="s">
        <v>8</v>
      </c>
      <c r="Y70" s="48">
        <f t="shared" si="1"/>
        <v>178646</v>
      </c>
    </row>
    <row r="71" spans="5:25">
      <c r="E71" s="204" t="s">
        <v>9</v>
      </c>
      <c r="F71" s="67">
        <v>3415</v>
      </c>
      <c r="G71" s="68">
        <v>2435</v>
      </c>
      <c r="H71" s="68">
        <v>112</v>
      </c>
      <c r="I71" s="68">
        <v>332</v>
      </c>
      <c r="J71" s="68">
        <v>139</v>
      </c>
      <c r="K71" s="68">
        <v>23</v>
      </c>
      <c r="L71" s="69">
        <v>27</v>
      </c>
      <c r="M71" s="67">
        <v>3260</v>
      </c>
      <c r="N71" s="68">
        <v>2875</v>
      </c>
      <c r="O71" s="68">
        <v>2003</v>
      </c>
      <c r="P71" s="68">
        <v>65</v>
      </c>
      <c r="Q71" s="68">
        <v>10</v>
      </c>
      <c r="R71" s="68">
        <v>46</v>
      </c>
      <c r="S71" s="69">
        <v>29</v>
      </c>
      <c r="U71" s="45" t="s">
        <v>9</v>
      </c>
      <c r="V71" s="9">
        <f t="shared" si="0"/>
        <v>0.44357357357357358</v>
      </c>
      <c r="X71" s="45" t="s">
        <v>9</v>
      </c>
      <c r="Y71" s="48">
        <f t="shared" si="1"/>
        <v>14771</v>
      </c>
    </row>
    <row r="72" spans="5:25">
      <c r="E72" s="204" t="s">
        <v>10</v>
      </c>
      <c r="F72" s="67">
        <v>1879</v>
      </c>
      <c r="G72" s="68">
        <v>1354</v>
      </c>
      <c r="H72" s="68">
        <v>33</v>
      </c>
      <c r="I72" s="68">
        <v>70</v>
      </c>
      <c r="J72" s="68">
        <v>6</v>
      </c>
      <c r="K72" s="68">
        <v>972</v>
      </c>
      <c r="L72" s="69">
        <v>1753</v>
      </c>
      <c r="M72" s="67">
        <v>4468</v>
      </c>
      <c r="N72" s="68">
        <v>3416</v>
      </c>
      <c r="O72" s="68">
        <v>341</v>
      </c>
      <c r="P72" s="68">
        <v>23</v>
      </c>
      <c r="Q72" s="68"/>
      <c r="R72" s="68">
        <v>3618</v>
      </c>
      <c r="S72" s="69">
        <v>649</v>
      </c>
      <c r="U72" s="45" t="s">
        <v>10</v>
      </c>
      <c r="V72" s="9">
        <f t="shared" si="0"/>
        <v>0.55801801801801798</v>
      </c>
      <c r="X72" s="45" t="s">
        <v>10</v>
      </c>
      <c r="Y72" s="48">
        <f t="shared" si="1"/>
        <v>18582</v>
      </c>
    </row>
    <row r="73" spans="5:25">
      <c r="E73" s="204" t="s">
        <v>11</v>
      </c>
      <c r="F73" s="67">
        <v>236</v>
      </c>
      <c r="G73" s="68">
        <v>261</v>
      </c>
      <c r="H73" s="68">
        <v>5</v>
      </c>
      <c r="I73" s="68">
        <v>202</v>
      </c>
      <c r="J73" s="68">
        <v>29</v>
      </c>
      <c r="K73" s="68">
        <v>5</v>
      </c>
      <c r="L73" s="69"/>
      <c r="M73" s="67">
        <v>374</v>
      </c>
      <c r="N73" s="68">
        <v>410</v>
      </c>
      <c r="O73" s="68">
        <v>399</v>
      </c>
      <c r="P73" s="68">
        <v>13</v>
      </c>
      <c r="Q73" s="68">
        <v>1</v>
      </c>
      <c r="R73" s="68">
        <v>7</v>
      </c>
      <c r="S73" s="69">
        <v>1</v>
      </c>
      <c r="U73" s="45" t="s">
        <v>11</v>
      </c>
      <c r="V73" s="9">
        <f t="shared" si="0"/>
        <v>5.8348348348348351E-2</v>
      </c>
      <c r="X73" s="45" t="s">
        <v>11</v>
      </c>
      <c r="Y73" s="48">
        <f t="shared" si="1"/>
        <v>1943</v>
      </c>
    </row>
    <row r="74" spans="5:25">
      <c r="E74" s="204" t="s">
        <v>12</v>
      </c>
      <c r="F74" s="67">
        <v>691</v>
      </c>
      <c r="G74" s="68">
        <v>1268</v>
      </c>
      <c r="H74" s="68">
        <v>22</v>
      </c>
      <c r="I74" s="68">
        <v>1346</v>
      </c>
      <c r="J74" s="68">
        <v>114</v>
      </c>
      <c r="K74" s="68">
        <v>11</v>
      </c>
      <c r="L74" s="69">
        <v>4</v>
      </c>
      <c r="M74" s="67">
        <v>2464</v>
      </c>
      <c r="N74" s="68">
        <v>2410</v>
      </c>
      <c r="O74" s="68">
        <v>1853</v>
      </c>
      <c r="P74" s="68">
        <v>36</v>
      </c>
      <c r="Q74" s="68">
        <v>4</v>
      </c>
      <c r="R74" s="68">
        <v>11</v>
      </c>
      <c r="S74" s="69">
        <v>3</v>
      </c>
      <c r="U74" s="45" t="s">
        <v>12</v>
      </c>
      <c r="V74" s="9">
        <f t="shared" si="0"/>
        <v>0.3074174174174174</v>
      </c>
      <c r="X74" s="45" t="s">
        <v>12</v>
      </c>
      <c r="Y74" s="48">
        <f t="shared" si="1"/>
        <v>10237</v>
      </c>
    </row>
    <row r="75" spans="5:25">
      <c r="E75" s="205" t="s">
        <v>13</v>
      </c>
      <c r="F75" s="70">
        <v>1</v>
      </c>
      <c r="G75" s="71">
        <v>1381</v>
      </c>
      <c r="H75" s="71">
        <v>5</v>
      </c>
      <c r="I75" s="71">
        <v>1884</v>
      </c>
      <c r="J75" s="71">
        <v>120</v>
      </c>
      <c r="K75" s="71"/>
      <c r="L75" s="72"/>
      <c r="M75" s="70">
        <v>1560</v>
      </c>
      <c r="N75" s="71">
        <v>2909</v>
      </c>
      <c r="O75" s="71">
        <v>524</v>
      </c>
      <c r="P75" s="71">
        <v>19</v>
      </c>
      <c r="Q75" s="71">
        <v>1</v>
      </c>
      <c r="R75" s="71">
        <v>4</v>
      </c>
      <c r="S75" s="72">
        <v>6</v>
      </c>
      <c r="U75" s="46" t="s">
        <v>13</v>
      </c>
      <c r="V75" s="10">
        <f t="shared" si="0"/>
        <v>0.25267267267267268</v>
      </c>
      <c r="X75" s="46" t="s">
        <v>13</v>
      </c>
      <c r="Y75" s="49">
        <f t="shared" si="1"/>
        <v>8414</v>
      </c>
    </row>
    <row r="77" spans="5:25">
      <c r="E77" s="227" t="s">
        <v>35</v>
      </c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9"/>
      <c r="V77" s="54">
        <f>Y77/V$3</f>
        <v>24.839879879879881</v>
      </c>
      <c r="X77" s="53" t="s">
        <v>20</v>
      </c>
      <c r="Y77" s="51">
        <f>SUM(Y62:Y75)</f>
        <v>827168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/>
      <c r="G80" s="31"/>
      <c r="H80" s="31"/>
      <c r="I80" s="31"/>
      <c r="J80" s="31"/>
      <c r="K80" s="31"/>
      <c r="L80" s="33"/>
      <c r="M80" s="29"/>
      <c r="N80" s="31"/>
      <c r="O80" s="31"/>
      <c r="P80" s="31"/>
      <c r="Q80" s="31"/>
      <c r="R80" s="31"/>
      <c r="S80" s="33"/>
    </row>
    <row r="81" spans="5:19">
      <c r="E81" s="45" t="s">
        <v>1</v>
      </c>
      <c r="F81" s="32"/>
      <c r="G81" s="30"/>
      <c r="H81" s="30"/>
      <c r="I81" s="30"/>
      <c r="J81" s="30"/>
      <c r="K81" s="30"/>
      <c r="L81" s="34"/>
      <c r="M81" s="32"/>
      <c r="N81" s="30"/>
      <c r="O81" s="30"/>
      <c r="P81" s="30"/>
      <c r="Q81" s="30"/>
      <c r="R81" s="30"/>
      <c r="S81" s="34"/>
    </row>
    <row r="82" spans="5:19">
      <c r="E82" s="45" t="s">
        <v>2</v>
      </c>
      <c r="F82" s="32"/>
      <c r="G82" s="30"/>
      <c r="H82" s="30"/>
      <c r="I82" s="30"/>
      <c r="J82" s="30"/>
      <c r="K82" s="30"/>
      <c r="L82" s="34"/>
      <c r="M82" s="32"/>
      <c r="N82" s="30"/>
      <c r="O82" s="30"/>
      <c r="P82" s="30"/>
      <c r="Q82" s="30"/>
      <c r="R82" s="30"/>
      <c r="S82" s="34"/>
    </row>
    <row r="83" spans="5:19">
      <c r="E83" s="45" t="s">
        <v>3</v>
      </c>
      <c r="F83" s="32"/>
      <c r="G83" s="30"/>
      <c r="H83" s="30"/>
      <c r="I83" s="30"/>
      <c r="J83" s="30"/>
      <c r="K83" s="30"/>
      <c r="L83" s="34"/>
      <c r="M83" s="32"/>
      <c r="N83" s="30"/>
      <c r="O83" s="30"/>
      <c r="P83" s="30"/>
      <c r="Q83" s="30"/>
      <c r="R83" s="30"/>
      <c r="S83" s="34"/>
    </row>
    <row r="84" spans="5:19">
      <c r="E84" s="45" t="s">
        <v>4</v>
      </c>
      <c r="F84" s="32"/>
      <c r="G84" s="30"/>
      <c r="H84" s="30"/>
      <c r="I84" s="30"/>
      <c r="J84" s="30"/>
      <c r="K84" s="30"/>
      <c r="L84" s="34"/>
      <c r="M84" s="32"/>
      <c r="N84" s="30"/>
      <c r="O84" s="30"/>
      <c r="P84" s="30"/>
      <c r="Q84" s="30"/>
      <c r="R84" s="30"/>
      <c r="S84" s="34"/>
    </row>
    <row r="85" spans="5:19">
      <c r="E85" s="45" t="s">
        <v>5</v>
      </c>
      <c r="F85" s="32"/>
      <c r="G85" s="30"/>
      <c r="H85" s="30"/>
      <c r="I85" s="30"/>
      <c r="J85" s="30"/>
      <c r="K85" s="30"/>
      <c r="L85" s="34"/>
      <c r="M85" s="32"/>
      <c r="N85" s="30"/>
      <c r="O85" s="30"/>
      <c r="P85" s="30"/>
      <c r="Q85" s="30"/>
      <c r="R85" s="30"/>
      <c r="S85" s="34"/>
    </row>
    <row r="86" spans="5:19">
      <c r="E86" s="46" t="s">
        <v>6</v>
      </c>
      <c r="F86" s="37"/>
      <c r="G86" s="36"/>
      <c r="H86" s="36"/>
      <c r="I86" s="36"/>
      <c r="J86" s="36"/>
      <c r="K86" s="36"/>
      <c r="L86" s="35"/>
      <c r="M86" s="37"/>
      <c r="N86" s="36"/>
      <c r="O86" s="36"/>
      <c r="P86" s="36"/>
      <c r="Q86" s="36"/>
      <c r="R86" s="36"/>
      <c r="S86" s="35"/>
    </row>
    <row r="87" spans="5:19">
      <c r="E87" s="44" t="s">
        <v>7</v>
      </c>
      <c r="F87" s="11"/>
      <c r="G87" s="12"/>
      <c r="H87" s="12"/>
      <c r="I87" s="12"/>
      <c r="J87" s="12"/>
      <c r="K87" s="12"/>
      <c r="L87" s="13"/>
      <c r="M87" s="11"/>
      <c r="N87" s="12"/>
      <c r="O87" s="12"/>
      <c r="P87" s="12"/>
      <c r="Q87" s="12"/>
      <c r="R87" s="12"/>
      <c r="S87" s="13"/>
    </row>
    <row r="88" spans="5:19">
      <c r="E88" s="45" t="s">
        <v>8</v>
      </c>
      <c r="F88" s="14"/>
      <c r="G88" s="15"/>
      <c r="H88" s="15"/>
      <c r="I88" s="15"/>
      <c r="J88" s="15"/>
      <c r="K88" s="15"/>
      <c r="L88" s="16"/>
      <c r="M88" s="14"/>
      <c r="N88" s="15"/>
      <c r="O88" s="15"/>
      <c r="P88" s="15"/>
      <c r="Q88" s="15"/>
      <c r="R88" s="15"/>
      <c r="S88" s="16"/>
    </row>
    <row r="89" spans="5:19">
      <c r="E89" s="45" t="s">
        <v>9</v>
      </c>
      <c r="F89" s="14"/>
      <c r="G89" s="15"/>
      <c r="H89" s="15"/>
      <c r="I89" s="15"/>
      <c r="J89" s="15"/>
      <c r="K89" s="15"/>
      <c r="L89" s="16"/>
      <c r="M89" s="14"/>
      <c r="N89" s="15"/>
      <c r="O89" s="15"/>
      <c r="P89" s="15"/>
      <c r="Q89" s="15"/>
      <c r="R89" s="15"/>
      <c r="S89" s="16"/>
    </row>
    <row r="90" spans="5:19">
      <c r="E90" s="45" t="s">
        <v>10</v>
      </c>
      <c r="F90" s="14"/>
      <c r="G90" s="15"/>
      <c r="H90" s="15"/>
      <c r="I90" s="15"/>
      <c r="J90" s="15"/>
      <c r="K90" s="15"/>
      <c r="L90" s="16"/>
      <c r="M90" s="14"/>
      <c r="N90" s="15"/>
      <c r="O90" s="15"/>
      <c r="P90" s="15"/>
      <c r="Q90" s="15"/>
      <c r="R90" s="15"/>
      <c r="S90" s="16"/>
    </row>
    <row r="91" spans="5:19">
      <c r="E91" s="45" t="s">
        <v>11</v>
      </c>
      <c r="F91" s="14"/>
      <c r="G91" s="15"/>
      <c r="H91" s="15"/>
      <c r="I91" s="15"/>
      <c r="J91" s="15"/>
      <c r="K91" s="15"/>
      <c r="L91" s="16"/>
      <c r="M91" s="14"/>
      <c r="N91" s="15"/>
      <c r="O91" s="15"/>
      <c r="P91" s="15"/>
      <c r="Q91" s="15"/>
      <c r="R91" s="15"/>
      <c r="S91" s="16"/>
    </row>
    <row r="92" spans="5:19">
      <c r="E92" s="45" t="s">
        <v>12</v>
      </c>
      <c r="F92" s="14"/>
      <c r="G92" s="15"/>
      <c r="H92" s="15"/>
      <c r="I92" s="15"/>
      <c r="J92" s="15"/>
      <c r="K92" s="15"/>
      <c r="L92" s="16"/>
      <c r="M92" s="14"/>
      <c r="N92" s="15"/>
      <c r="O92" s="15"/>
      <c r="P92" s="15"/>
      <c r="Q92" s="15"/>
      <c r="R92" s="15"/>
      <c r="S92" s="16"/>
    </row>
    <row r="93" spans="5:19">
      <c r="E93" s="46" t="s">
        <v>13</v>
      </c>
      <c r="F93" s="17"/>
      <c r="G93" s="18"/>
      <c r="H93" s="18"/>
      <c r="I93" s="18"/>
      <c r="J93" s="18"/>
      <c r="K93" s="18"/>
      <c r="L93" s="19"/>
      <c r="M93" s="17"/>
      <c r="N93" s="18"/>
      <c r="O93" s="18"/>
      <c r="P93" s="18"/>
      <c r="Q93" s="18"/>
      <c r="R93" s="18"/>
      <c r="S93" s="19"/>
    </row>
    <row r="95" spans="5:19">
      <c r="E95" s="227" t="s">
        <v>36</v>
      </c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9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30">
        <v>6.9485063620513599E-2</v>
      </c>
      <c r="G98" s="231">
        <v>5.0631899648271701E-2</v>
      </c>
      <c r="H98" s="231">
        <v>4.2621531868698603E-2</v>
      </c>
      <c r="I98" s="231">
        <v>7.5853797072724998E-3</v>
      </c>
      <c r="J98" s="231">
        <v>3.7274002292993598E-4</v>
      </c>
      <c r="K98" s="231">
        <v>3.36443184119677E-3</v>
      </c>
      <c r="L98" s="232">
        <v>1.22388878445121E-2</v>
      </c>
      <c r="M98" s="230">
        <v>0.17909143745544701</v>
      </c>
      <c r="N98" s="231">
        <v>0.13469029448637601</v>
      </c>
      <c r="O98" s="231">
        <v>8.3230474560168105E-2</v>
      </c>
      <c r="P98" s="231">
        <v>7.77589972700645E-3</v>
      </c>
      <c r="Q98" s="231">
        <v>8.3373559633027504E-4</v>
      </c>
      <c r="R98" s="231">
        <v>5.1479647956698196E-3</v>
      </c>
      <c r="S98" s="232">
        <v>1.5396992753076299E-2</v>
      </c>
    </row>
    <row r="99" spans="5:19">
      <c r="E99" s="45" t="s">
        <v>1</v>
      </c>
      <c r="F99" s="233">
        <v>5.17387863560375E-2</v>
      </c>
      <c r="G99" s="234">
        <v>2.92634545992628E-2</v>
      </c>
      <c r="H99" s="234">
        <v>3.5526791619656703E-2</v>
      </c>
      <c r="I99" s="234">
        <v>5.3871651071635404E-3</v>
      </c>
      <c r="J99" s="234">
        <v>5.1555358904109496E-4</v>
      </c>
      <c r="K99" s="234">
        <v>6.0918276925441897E-3</v>
      </c>
      <c r="L99" s="235">
        <v>1.01475701359846E-2</v>
      </c>
      <c r="M99" s="233">
        <v>0.113369064901824</v>
      </c>
      <c r="N99" s="234">
        <v>7.7037004887133803E-2</v>
      </c>
      <c r="O99" s="234">
        <v>6.5398459984420607E-2</v>
      </c>
      <c r="P99" s="234">
        <v>3.344504E-4</v>
      </c>
      <c r="Q99" s="234">
        <v>2.4379E-4</v>
      </c>
      <c r="R99" s="234">
        <v>5.6668473964194303E-3</v>
      </c>
      <c r="S99" s="235">
        <v>1.7846629859441101E-2</v>
      </c>
    </row>
    <row r="100" spans="5:19">
      <c r="E100" s="45" t="s">
        <v>2</v>
      </c>
      <c r="F100" s="233">
        <v>0.361982380707778</v>
      </c>
      <c r="G100" s="234">
        <v>0.25107804205337902</v>
      </c>
      <c r="H100" s="234">
        <v>3.8585686188976398E-2</v>
      </c>
      <c r="I100" s="234">
        <v>0.160691675929824</v>
      </c>
      <c r="J100" s="234">
        <v>4.79869666666666E-4</v>
      </c>
      <c r="K100" s="234">
        <v>3.3909098510638301E-2</v>
      </c>
      <c r="L100" s="235">
        <v>0.22262575115789399</v>
      </c>
      <c r="M100" s="233">
        <v>0.33408615782091999</v>
      </c>
      <c r="N100" s="234">
        <v>0.28725860810690401</v>
      </c>
      <c r="O100" s="234">
        <v>0.48864667035416598</v>
      </c>
      <c r="P100" s="234">
        <v>4.2736099631901798E-3</v>
      </c>
      <c r="Q100" s="234">
        <v>4.51115747747747E-4</v>
      </c>
      <c r="R100" s="234">
        <v>7.0065848799999997E-2</v>
      </c>
      <c r="S100" s="235">
        <v>0.30192478610526302</v>
      </c>
    </row>
    <row r="101" spans="5:19">
      <c r="E101" s="45" t="s">
        <v>3</v>
      </c>
      <c r="F101" s="233">
        <v>6.4072732653042502E-2</v>
      </c>
      <c r="G101" s="234">
        <v>5.0972680277028899E-2</v>
      </c>
      <c r="H101" s="234">
        <v>2.6591098245210699E-2</v>
      </c>
      <c r="I101" s="234">
        <v>1.3612553238095199E-2</v>
      </c>
      <c r="J101" s="234"/>
      <c r="K101" s="234">
        <v>1.5034725184549301E-3</v>
      </c>
      <c r="L101" s="235">
        <v>2.0565606157556201E-2</v>
      </c>
      <c r="M101" s="233">
        <v>0.13215570186749401</v>
      </c>
      <c r="N101" s="234">
        <v>0.12040772178659299</v>
      </c>
      <c r="O101" s="234">
        <v>7.3725774499999994E-2</v>
      </c>
      <c r="P101" s="234">
        <v>3.76857925490196E-3</v>
      </c>
      <c r="Q101" s="234">
        <v>2.9808599999999998E-4</v>
      </c>
      <c r="R101" s="234">
        <v>1.22615451843137E-2</v>
      </c>
      <c r="S101" s="235">
        <v>2.37133840666666E-2</v>
      </c>
    </row>
    <row r="102" spans="5:19">
      <c r="E102" s="45" t="s">
        <v>4</v>
      </c>
      <c r="F102" s="233">
        <v>0.12993081323382999</v>
      </c>
      <c r="G102" s="234">
        <v>0.102590107201004</v>
      </c>
      <c r="H102" s="234">
        <v>1.13372917916666E-2</v>
      </c>
      <c r="I102" s="234">
        <v>6.09126157142857E-3</v>
      </c>
      <c r="J102" s="234">
        <v>2.056688E-4</v>
      </c>
      <c r="K102" s="234">
        <v>8.5318519999999995E-3</v>
      </c>
      <c r="L102" s="235">
        <v>2.2697671999999999E-2</v>
      </c>
      <c r="M102" s="233">
        <v>0.212056209974468</v>
      </c>
      <c r="N102" s="234">
        <v>0.102856193395017</v>
      </c>
      <c r="O102" s="234">
        <v>0.32452340199999902</v>
      </c>
      <c r="P102" s="234">
        <v>2.03159394255319E-2</v>
      </c>
      <c r="Q102" s="234">
        <v>5.2994269565217295E-4</v>
      </c>
      <c r="R102" s="234">
        <v>7.6655333333333297E-5</v>
      </c>
      <c r="S102" s="235"/>
    </row>
    <row r="103" spans="5:19">
      <c r="E103" s="45" t="s">
        <v>5</v>
      </c>
      <c r="F103" s="233">
        <v>7.5126278322771495E-2</v>
      </c>
      <c r="G103" s="234">
        <v>6.7331410188110702E-2</v>
      </c>
      <c r="H103" s="234">
        <v>6.5941774203565296E-3</v>
      </c>
      <c r="I103" s="234">
        <v>6.16030846153846E-3</v>
      </c>
      <c r="J103" s="234">
        <v>5.0821900000000003E-3</v>
      </c>
      <c r="K103" s="234">
        <v>3.6829411111111098E-3</v>
      </c>
      <c r="L103" s="235">
        <v>4.3328259999999997E-3</v>
      </c>
      <c r="M103" s="233">
        <v>0.13732371590189801</v>
      </c>
      <c r="N103" s="234">
        <v>5.9693111821843503E-2</v>
      </c>
      <c r="O103" s="234">
        <v>6.3516590171428494E-2</v>
      </c>
      <c r="P103" s="234">
        <v>1.9196595278592399E-2</v>
      </c>
      <c r="Q103" s="234">
        <v>9.6868907086614098E-4</v>
      </c>
      <c r="R103" s="234">
        <v>8.2771940599999996E-2</v>
      </c>
      <c r="S103" s="235">
        <v>4.7582015249999998E-2</v>
      </c>
    </row>
    <row r="104" spans="5:19">
      <c r="E104" s="46" t="s">
        <v>6</v>
      </c>
      <c r="F104" s="236">
        <v>1.9210276627371198E-2</v>
      </c>
      <c r="G104" s="237">
        <v>1.64823181307771E-2</v>
      </c>
      <c r="H104" s="237">
        <v>3.3027125553470801E-3</v>
      </c>
      <c r="I104" s="237">
        <v>1.62192344444444E-3</v>
      </c>
      <c r="J104" s="237">
        <v>1.67963333333333E-4</v>
      </c>
      <c r="K104" s="237">
        <v>3.6352505000000002E-3</v>
      </c>
      <c r="L104" s="238">
        <v>4.7658500000000002E-4</v>
      </c>
      <c r="M104" s="236">
        <v>2.32639333333333E-4</v>
      </c>
      <c r="N104" s="237">
        <v>1.6125965180760201E-2</v>
      </c>
      <c r="O104" s="237">
        <v>5.7623884444444398E-3</v>
      </c>
      <c r="P104" s="237">
        <v>1.61003028893528E-2</v>
      </c>
      <c r="Q104" s="237">
        <v>1.29486049541284E-3</v>
      </c>
      <c r="R104" s="237">
        <v>2.1500600000000001E-4</v>
      </c>
      <c r="S104" s="238"/>
    </row>
    <row r="105" spans="5:19">
      <c r="E105" s="44" t="s">
        <v>7</v>
      </c>
      <c r="F105" s="239">
        <v>0.17970582902587101</v>
      </c>
      <c r="G105" s="240">
        <v>0.13534717457829601</v>
      </c>
      <c r="H105" s="240">
        <v>6.44564063633708E-2</v>
      </c>
      <c r="I105" s="240">
        <v>1.6619572846506201E-2</v>
      </c>
      <c r="J105" s="240">
        <v>5.2084061333333297E-4</v>
      </c>
      <c r="K105" s="240">
        <v>8.6540657452711198E-3</v>
      </c>
      <c r="L105" s="241">
        <v>2.23695572216666E-2</v>
      </c>
      <c r="M105" s="239">
        <v>6.1079236505169103E-2</v>
      </c>
      <c r="N105" s="240">
        <v>4.9937711701193002E-2</v>
      </c>
      <c r="O105" s="240">
        <v>2.7578862486278399E-2</v>
      </c>
      <c r="P105" s="240">
        <v>5.2664085082439098E-3</v>
      </c>
      <c r="Q105" s="240">
        <v>4.6369939704209298E-4</v>
      </c>
      <c r="R105" s="240">
        <v>6.3245107680432299E-3</v>
      </c>
      <c r="S105" s="241">
        <v>1.45682519915074E-2</v>
      </c>
    </row>
    <row r="106" spans="5:19">
      <c r="E106" s="45" t="s">
        <v>8</v>
      </c>
      <c r="F106" s="242">
        <v>0.13842951443243001</v>
      </c>
      <c r="G106" s="243">
        <v>8.1697444430362504E-2</v>
      </c>
      <c r="H106" s="243">
        <v>0.10527727019726001</v>
      </c>
      <c r="I106" s="243"/>
      <c r="J106" s="243"/>
      <c r="K106" s="243">
        <v>4.3727778440594001E-3</v>
      </c>
      <c r="L106" s="244">
        <v>1.6345311030035298E-2</v>
      </c>
      <c r="M106" s="242">
        <v>4.9049866077078202E-2</v>
      </c>
      <c r="N106" s="243">
        <v>3.2824080036410401E-2</v>
      </c>
      <c r="O106" s="243">
        <v>1.9268951114741601E-2</v>
      </c>
      <c r="P106" s="243">
        <v>3.22368323895159E-3</v>
      </c>
      <c r="Q106" s="243">
        <v>3.6020099999999999E-4</v>
      </c>
      <c r="R106" s="243">
        <v>6.3709450973837099E-3</v>
      </c>
      <c r="S106" s="244">
        <v>1.7388326320972598E-2</v>
      </c>
    </row>
    <row r="107" spans="5:19">
      <c r="E107" s="45" t="s">
        <v>9</v>
      </c>
      <c r="F107" s="242">
        <v>0.273992709926208</v>
      </c>
      <c r="G107" s="243">
        <v>0.23412484562381899</v>
      </c>
      <c r="H107" s="243">
        <v>0.483315639214285</v>
      </c>
      <c r="I107" s="243">
        <v>1.1054007006024E-2</v>
      </c>
      <c r="J107" s="243">
        <v>5.7181605755395601E-4</v>
      </c>
      <c r="K107" s="243">
        <v>0.18020491234782601</v>
      </c>
      <c r="L107" s="244">
        <v>5.6319663555555503E-2</v>
      </c>
      <c r="M107" s="242">
        <v>0.24847253742147199</v>
      </c>
      <c r="N107" s="243">
        <v>0.216686872218434</v>
      </c>
      <c r="O107" s="243">
        <v>3.8498155957064399E-2</v>
      </c>
      <c r="P107" s="243">
        <v>6.0561584584615302E-2</v>
      </c>
      <c r="Q107" s="243">
        <v>5.564608E-4</v>
      </c>
      <c r="R107" s="243">
        <v>2.5276940173913E-2</v>
      </c>
      <c r="S107" s="244">
        <v>0.14997512255172399</v>
      </c>
    </row>
    <row r="108" spans="5:19">
      <c r="E108" s="45" t="s">
        <v>10</v>
      </c>
      <c r="F108" s="242">
        <v>0.102137877712613</v>
      </c>
      <c r="G108" s="243">
        <v>0.11313788092319001</v>
      </c>
      <c r="H108" s="243">
        <v>1.9365771151515099E-2</v>
      </c>
      <c r="I108" s="243">
        <v>1.0042214742857099E-2</v>
      </c>
      <c r="J108" s="243">
        <v>1.93398733333333E-3</v>
      </c>
      <c r="K108" s="243">
        <v>6.3756101337448497E-3</v>
      </c>
      <c r="L108" s="244">
        <v>1.6313975118083201E-2</v>
      </c>
      <c r="M108" s="242">
        <v>5.9506293435093997E-2</v>
      </c>
      <c r="N108" s="243">
        <v>4.6012591158079499E-2</v>
      </c>
      <c r="O108" s="243">
        <v>3.3314754193548299E-3</v>
      </c>
      <c r="P108" s="243">
        <v>2.8649495652173901E-3</v>
      </c>
      <c r="Q108" s="243"/>
      <c r="R108" s="243">
        <v>1.05591707573244E-3</v>
      </c>
      <c r="S108" s="244">
        <v>1.4647170850539201E-2</v>
      </c>
    </row>
    <row r="109" spans="5:19">
      <c r="E109" s="45" t="s">
        <v>11</v>
      </c>
      <c r="F109" s="242">
        <v>0.21829132302542301</v>
      </c>
      <c r="G109" s="243">
        <v>8.8160633655172405E-2</v>
      </c>
      <c r="H109" s="243">
        <v>0.79726475200000002</v>
      </c>
      <c r="I109" s="243">
        <v>1.44736236336633E-2</v>
      </c>
      <c r="J109" s="243">
        <v>4.6739358620689599E-4</v>
      </c>
      <c r="K109" s="243">
        <v>1.22291764E-2</v>
      </c>
      <c r="L109" s="244"/>
      <c r="M109" s="242">
        <v>0.18630773621925101</v>
      </c>
      <c r="N109" s="243">
        <v>0.122389243307317</v>
      </c>
      <c r="O109" s="243">
        <v>1.5581481127819499E-2</v>
      </c>
      <c r="P109" s="243">
        <v>2.2058336615384599E-2</v>
      </c>
      <c r="Q109" s="243">
        <v>2.30776E-4</v>
      </c>
      <c r="R109" s="243">
        <v>4.6909022857142798E-3</v>
      </c>
      <c r="S109" s="244">
        <v>9.3730285999999996E-2</v>
      </c>
    </row>
    <row r="110" spans="5:19">
      <c r="E110" s="45" t="s">
        <v>12</v>
      </c>
      <c r="F110" s="242">
        <v>0.13006433203762599</v>
      </c>
      <c r="G110" s="243">
        <v>5.2295265493690797E-2</v>
      </c>
      <c r="H110" s="243">
        <v>5.3726585454545402E-2</v>
      </c>
      <c r="I110" s="243">
        <v>2.1207617408618099E-2</v>
      </c>
      <c r="J110" s="243">
        <v>6.7335217543859605E-4</v>
      </c>
      <c r="K110" s="243">
        <v>2.9933350363636299E-2</v>
      </c>
      <c r="L110" s="244">
        <v>4.0729850000000001E-4</v>
      </c>
      <c r="M110" s="242">
        <v>7.2660385036525901E-2</v>
      </c>
      <c r="N110" s="243">
        <v>6.4592946760165901E-2</v>
      </c>
      <c r="O110" s="243">
        <v>3.2849306832164098E-3</v>
      </c>
      <c r="P110" s="243">
        <v>2.9700120833333302E-2</v>
      </c>
      <c r="Q110" s="243">
        <v>4.143285E-4</v>
      </c>
      <c r="R110" s="243">
        <v>3.19830363636363E-4</v>
      </c>
      <c r="S110" s="244">
        <v>0.101604161333333</v>
      </c>
    </row>
    <row r="111" spans="5:19">
      <c r="E111" s="46" t="s">
        <v>13</v>
      </c>
      <c r="F111" s="245">
        <v>4.4258600000000002E-4</v>
      </c>
      <c r="G111" s="246">
        <v>1.2170457469949301E-2</v>
      </c>
      <c r="H111" s="246">
        <v>7.25868244E-2</v>
      </c>
      <c r="I111" s="246">
        <v>1.54475549299362E-2</v>
      </c>
      <c r="J111" s="246">
        <v>1.7539070833333299E-3</v>
      </c>
      <c r="K111" s="246"/>
      <c r="L111" s="247"/>
      <c r="M111" s="245">
        <v>1.42944504743589E-2</v>
      </c>
      <c r="N111" s="246">
        <v>1.6201783753179801E-2</v>
      </c>
      <c r="O111" s="246">
        <v>8.8010940648854796E-3</v>
      </c>
      <c r="P111" s="246">
        <v>5.8236315789473604E-4</v>
      </c>
      <c r="Q111" s="246">
        <v>3.08664E-4</v>
      </c>
      <c r="R111" s="246">
        <v>4.2275949999999999E-4</v>
      </c>
      <c r="S111" s="247">
        <v>5.82783333333333E-5</v>
      </c>
    </row>
    <row r="113" spans="5:19">
      <c r="E113" s="40" t="s">
        <v>21</v>
      </c>
      <c r="F113" s="41" t="s">
        <v>0</v>
      </c>
      <c r="G113" s="42" t="s">
        <v>1</v>
      </c>
      <c r="H113" s="42" t="s">
        <v>2</v>
      </c>
      <c r="I113" s="42" t="s">
        <v>3</v>
      </c>
      <c r="J113" s="42" t="s">
        <v>4</v>
      </c>
      <c r="K113" s="42" t="s">
        <v>5</v>
      </c>
      <c r="L113" s="43" t="s">
        <v>6</v>
      </c>
      <c r="M113" s="41" t="s">
        <v>7</v>
      </c>
      <c r="N113" s="42" t="s">
        <v>8</v>
      </c>
      <c r="O113" s="42" t="s">
        <v>9</v>
      </c>
      <c r="P113" s="42" t="s">
        <v>10</v>
      </c>
      <c r="Q113" s="42" t="s">
        <v>11</v>
      </c>
      <c r="R113" s="42" t="s">
        <v>12</v>
      </c>
      <c r="S113" s="43" t="s">
        <v>13</v>
      </c>
    </row>
    <row r="114" spans="5:19">
      <c r="E114" s="44" t="s">
        <v>0</v>
      </c>
      <c r="F114" s="230">
        <v>3.0180000000000002E-6</v>
      </c>
      <c r="G114" s="231">
        <v>9.7140000000000005E-6</v>
      </c>
      <c r="H114" s="231">
        <v>4.2463599999999998E-5</v>
      </c>
      <c r="I114" s="231">
        <v>5.8184000000000001E-6</v>
      </c>
      <c r="J114" s="231">
        <v>6.7155999999999997E-6</v>
      </c>
      <c r="K114" s="231">
        <v>1.06152E-5</v>
      </c>
      <c r="L114" s="232">
        <v>3.5791799999999998E-5</v>
      </c>
      <c r="M114" s="230">
        <v>1.9164000000000002E-5</v>
      </c>
      <c r="N114" s="231">
        <v>1.2885279999999999E-4</v>
      </c>
      <c r="O114" s="231">
        <v>3.6077600000000002E-5</v>
      </c>
      <c r="P114" s="231">
        <v>8.0048E-6</v>
      </c>
      <c r="Q114" s="248">
        <v>4.23936E-5</v>
      </c>
      <c r="R114" s="231">
        <v>2.3977599999999901E-5</v>
      </c>
      <c r="S114" s="232">
        <v>3.5926400000000002E-5</v>
      </c>
    </row>
    <row r="115" spans="5:19">
      <c r="E115" s="45" t="s">
        <v>1</v>
      </c>
      <c r="F115" s="233">
        <v>2.8159999999999998E-6</v>
      </c>
      <c r="G115" s="234">
        <v>1.3859999999999999E-6</v>
      </c>
      <c r="H115" s="234">
        <v>7.6160000000000003E-5</v>
      </c>
      <c r="I115" s="234">
        <v>6.1680000000000001E-6</v>
      </c>
      <c r="J115" s="234">
        <v>5.1901999999999999E-6</v>
      </c>
      <c r="K115" s="234">
        <v>2.3298E-5</v>
      </c>
      <c r="L115" s="235">
        <v>1.599576E-4</v>
      </c>
      <c r="M115" s="233">
        <v>1.12794E-4</v>
      </c>
      <c r="N115" s="234">
        <v>3.1281200000000001E-5</v>
      </c>
      <c r="O115" s="234">
        <v>4.9716E-6</v>
      </c>
      <c r="P115" s="249">
        <v>1.19156E-5</v>
      </c>
      <c r="Q115" s="249">
        <v>2.4379E-4</v>
      </c>
      <c r="R115" s="234">
        <v>3.3494000000000001E-6</v>
      </c>
      <c r="S115" s="235">
        <v>1.1018E-5</v>
      </c>
    </row>
    <row r="116" spans="5:19">
      <c r="E116" s="45" t="s">
        <v>2</v>
      </c>
      <c r="F116" s="233">
        <v>2.7971999999999999E-5</v>
      </c>
      <c r="G116" s="234">
        <v>3.5456800000000002E-5</v>
      </c>
      <c r="H116" s="234">
        <v>1.5728E-6</v>
      </c>
      <c r="I116" s="249">
        <v>1.81312E-5</v>
      </c>
      <c r="J116" s="249">
        <v>8.6463000000000002E-5</v>
      </c>
      <c r="K116" s="249">
        <v>3.3276000000000001E-6</v>
      </c>
      <c r="L116" s="250">
        <v>2.9464920000000002E-3</v>
      </c>
      <c r="M116" s="233">
        <v>3.9872400000000001E-5</v>
      </c>
      <c r="N116" s="234">
        <v>3.8334999999999998E-5</v>
      </c>
      <c r="O116" s="249">
        <v>8.0992E-5</v>
      </c>
      <c r="P116" s="234">
        <v>1.9763E-5</v>
      </c>
      <c r="Q116" s="234">
        <v>1.10098E-4</v>
      </c>
      <c r="R116" s="249">
        <v>1.7492960000000001E-4</v>
      </c>
      <c r="S116" s="250">
        <v>8.0304799999999997E-5</v>
      </c>
    </row>
    <row r="117" spans="5:19">
      <c r="E117" s="45" t="s">
        <v>3</v>
      </c>
      <c r="F117" s="233">
        <v>1.41384E-5</v>
      </c>
      <c r="G117" s="234">
        <v>2.0158800000000001E-5</v>
      </c>
      <c r="H117" s="234">
        <v>2.2330000000000001E-5</v>
      </c>
      <c r="I117" s="249">
        <v>2.5012E-5</v>
      </c>
      <c r="J117" s="249"/>
      <c r="K117" s="234">
        <v>5.8800000000000002E-7</v>
      </c>
      <c r="L117" s="235">
        <v>8.6173999999999999E-6</v>
      </c>
      <c r="M117" s="233">
        <v>2.0174600000000002E-5</v>
      </c>
      <c r="N117" s="234">
        <v>2.3713000000000001E-5</v>
      </c>
      <c r="O117" s="249">
        <v>1.142854E-4</v>
      </c>
      <c r="P117" s="249">
        <v>1.5719999999999999E-6</v>
      </c>
      <c r="Q117" s="249">
        <v>2.7360919999999998E-4</v>
      </c>
      <c r="R117" s="234">
        <v>1.60914E-5</v>
      </c>
      <c r="S117" s="235">
        <v>3.6496399999999998E-5</v>
      </c>
    </row>
    <row r="118" spans="5:19">
      <c r="E118" s="45" t="s">
        <v>4</v>
      </c>
      <c r="F118" s="233">
        <v>1.29602E-5</v>
      </c>
      <c r="G118" s="234">
        <v>2.5809400000000001E-5</v>
      </c>
      <c r="H118" s="234">
        <v>5.2799999999999996E-7</v>
      </c>
      <c r="I118" s="249">
        <v>5.7710400000000002E-5</v>
      </c>
      <c r="J118" s="249">
        <v>1.38E-5</v>
      </c>
      <c r="K118" s="249">
        <v>1.2632E-6</v>
      </c>
      <c r="L118" s="250">
        <v>2.2697671999999999E-2</v>
      </c>
      <c r="M118" s="233">
        <v>2.383536E-4</v>
      </c>
      <c r="N118" s="234">
        <v>3.6505999999999999E-5</v>
      </c>
      <c r="O118" s="249">
        <v>5.8990999999999998E-5</v>
      </c>
      <c r="P118" s="234">
        <v>7.9583999999999999E-6</v>
      </c>
      <c r="Q118" s="249">
        <v>2.3842E-5</v>
      </c>
      <c r="R118" s="249">
        <v>2.54212E-5</v>
      </c>
      <c r="S118" s="250"/>
    </row>
    <row r="119" spans="5:19">
      <c r="E119" s="45" t="s">
        <v>5</v>
      </c>
      <c r="F119" s="233">
        <v>8.8151999999999999E-6</v>
      </c>
      <c r="G119" s="234">
        <v>9.6029999999999994E-6</v>
      </c>
      <c r="H119" s="234">
        <v>2.8304E-6</v>
      </c>
      <c r="I119" s="249">
        <v>1.3040800000000001E-5</v>
      </c>
      <c r="J119" s="249">
        <v>1.2346732E-3</v>
      </c>
      <c r="K119" s="249">
        <v>2.9108400000000001E-5</v>
      </c>
      <c r="L119" s="250">
        <v>4.3328259999999997E-3</v>
      </c>
      <c r="M119" s="233">
        <v>1.74836E-5</v>
      </c>
      <c r="N119" s="234">
        <v>1.6801999999999999E-5</v>
      </c>
      <c r="O119" s="249">
        <v>5.6251600000000002E-5</v>
      </c>
      <c r="P119" s="234">
        <v>3.8046800000000003E-5</v>
      </c>
      <c r="Q119" s="234">
        <v>4.4323200000000003E-5</v>
      </c>
      <c r="R119" s="249">
        <v>1.8994399999999999E-5</v>
      </c>
      <c r="S119" s="250">
        <v>1.156236E-4</v>
      </c>
    </row>
    <row r="120" spans="5:19">
      <c r="E120" s="46" t="s">
        <v>6</v>
      </c>
      <c r="F120" s="236">
        <v>6.1020000000000002E-6</v>
      </c>
      <c r="G120" s="237">
        <v>2.8899999999999999E-6</v>
      </c>
      <c r="H120" s="237">
        <v>3.0746E-5</v>
      </c>
      <c r="I120" s="251">
        <v>8.3443999999999993E-6</v>
      </c>
      <c r="J120" s="251">
        <v>5.20508E-5</v>
      </c>
      <c r="K120" s="251">
        <v>2.560366E-4</v>
      </c>
      <c r="L120" s="252">
        <v>3.4058599999999999E-5</v>
      </c>
      <c r="M120" s="253">
        <v>2.0440439999999999E-4</v>
      </c>
      <c r="N120" s="237">
        <v>4.7167599999999999E-5</v>
      </c>
      <c r="O120" s="251">
        <v>1.125064E-4</v>
      </c>
      <c r="P120" s="237">
        <v>2.3728900000000001E-4</v>
      </c>
      <c r="Q120" s="237">
        <v>1.966108E-4</v>
      </c>
      <c r="R120" s="251">
        <v>8.8265599999999997E-5</v>
      </c>
      <c r="S120" s="252"/>
    </row>
    <row r="121" spans="5:19">
      <c r="E121" s="44" t="s">
        <v>7</v>
      </c>
      <c r="F121" s="239">
        <v>2.6016600000000001E-5</v>
      </c>
      <c r="G121" s="240">
        <v>1.189476E-4</v>
      </c>
      <c r="H121" s="240">
        <v>3.5841599999999999E-5</v>
      </c>
      <c r="I121" s="240">
        <v>1.2863E-5</v>
      </c>
      <c r="J121" s="254">
        <v>1.73508E-5</v>
      </c>
      <c r="K121" s="240">
        <v>1.20484E-5</v>
      </c>
      <c r="L121" s="241">
        <v>4.1144599999999999E-5</v>
      </c>
      <c r="M121" s="239">
        <v>3.0240000000000002E-6</v>
      </c>
      <c r="N121" s="240">
        <v>8.1888000000000003E-6</v>
      </c>
      <c r="O121" s="240">
        <v>3.4648399999999998E-5</v>
      </c>
      <c r="P121" s="240">
        <v>4.9327999999999996E-6</v>
      </c>
      <c r="Q121" s="240">
        <v>7.96E-6</v>
      </c>
      <c r="R121" s="240">
        <v>1.0052E-5</v>
      </c>
      <c r="S121" s="241">
        <v>4.30918E-5</v>
      </c>
    </row>
    <row r="122" spans="5:19">
      <c r="E122" s="45" t="s">
        <v>8</v>
      </c>
      <c r="F122" s="242">
        <v>1.153834E-4</v>
      </c>
      <c r="G122" s="243">
        <v>3.7614000000000003E-5</v>
      </c>
      <c r="H122" s="243">
        <v>4.9976000000000002E-6</v>
      </c>
      <c r="I122" s="255"/>
      <c r="J122" s="255"/>
      <c r="K122" s="243">
        <v>3.2756E-6</v>
      </c>
      <c r="L122" s="244">
        <v>2.26154E-5</v>
      </c>
      <c r="M122" s="242">
        <v>2.756E-6</v>
      </c>
      <c r="N122" s="243">
        <v>1.378E-6</v>
      </c>
      <c r="O122" s="243">
        <v>1.06566E-4</v>
      </c>
      <c r="P122" s="243">
        <v>5.5879999999999997E-6</v>
      </c>
      <c r="Q122" s="243">
        <v>5.6509999999999998E-6</v>
      </c>
      <c r="R122" s="243">
        <v>2.3502999999999998E-5</v>
      </c>
      <c r="S122" s="244">
        <v>1.8901000000000001E-4</v>
      </c>
    </row>
    <row r="123" spans="5:19">
      <c r="E123" s="45" t="s">
        <v>9</v>
      </c>
      <c r="F123" s="242">
        <v>4.4963599999999998E-5</v>
      </c>
      <c r="G123" s="243">
        <v>4.3201200000000002E-5</v>
      </c>
      <c r="H123" s="255">
        <v>6.7259400000000002E-5</v>
      </c>
      <c r="I123" s="243">
        <v>2.5512800000000001E-5</v>
      </c>
      <c r="J123" s="243">
        <v>3.7866800000000001E-5</v>
      </c>
      <c r="K123" s="243">
        <v>2.0057159999999999E-4</v>
      </c>
      <c r="L123" s="244">
        <v>2.374012E-4</v>
      </c>
      <c r="M123" s="242">
        <v>2.5674399999999999E-5</v>
      </c>
      <c r="N123" s="243">
        <v>4.2706000000000001E-5</v>
      </c>
      <c r="O123" s="243">
        <v>1.3715999999999999E-6</v>
      </c>
      <c r="P123" s="255">
        <v>2.4125200000000001E-5</v>
      </c>
      <c r="Q123" s="255">
        <v>2.16232E-5</v>
      </c>
      <c r="R123" s="255">
        <v>1.3149999999999999E-6</v>
      </c>
      <c r="S123" s="256">
        <v>4.0365159999999998E-4</v>
      </c>
    </row>
    <row r="124" spans="5:19">
      <c r="E124" s="45" t="s">
        <v>10</v>
      </c>
      <c r="F124" s="242">
        <v>3.09128E-5</v>
      </c>
      <c r="G124" s="243">
        <v>2.87728E-5</v>
      </c>
      <c r="H124" s="255">
        <v>1.75592E-5</v>
      </c>
      <c r="I124" s="255">
        <v>1.4252399999999999E-5</v>
      </c>
      <c r="J124" s="255">
        <v>7.3139000000000006E-5</v>
      </c>
      <c r="K124" s="243">
        <v>1.47736E-5</v>
      </c>
      <c r="L124" s="244">
        <v>4.6034E-5</v>
      </c>
      <c r="M124" s="242">
        <v>1.3698E-5</v>
      </c>
      <c r="N124" s="243">
        <v>1.8420999999999999E-5</v>
      </c>
      <c r="O124" s="243">
        <v>1.12346E-4</v>
      </c>
      <c r="P124" s="255">
        <v>2.75244E-5</v>
      </c>
      <c r="Q124" s="255"/>
      <c r="R124" s="243">
        <v>5.8800000000000002E-7</v>
      </c>
      <c r="S124" s="244">
        <v>8.8575999999999997E-6</v>
      </c>
    </row>
    <row r="125" spans="5:19">
      <c r="E125" s="45" t="s">
        <v>11</v>
      </c>
      <c r="F125" s="242">
        <v>1.7261500000000001E-4</v>
      </c>
      <c r="G125" s="243">
        <v>4.1232000000000001E-5</v>
      </c>
      <c r="H125" s="255">
        <v>5.384268E-4</v>
      </c>
      <c r="I125" s="243">
        <v>1.23724E-5</v>
      </c>
      <c r="J125" s="255">
        <v>2.5629199999999998E-5</v>
      </c>
      <c r="K125" s="255">
        <v>2.0613599999999999E-5</v>
      </c>
      <c r="L125" s="256"/>
      <c r="M125" s="242">
        <v>1.5110799999999999E-5</v>
      </c>
      <c r="N125" s="243">
        <v>1.45604E-5</v>
      </c>
      <c r="O125" s="243">
        <v>5.3000000000000001E-7</v>
      </c>
      <c r="P125" s="255">
        <v>3.1400799999999999E-5</v>
      </c>
      <c r="Q125" s="255">
        <v>2.30776E-4</v>
      </c>
      <c r="R125" s="255">
        <v>3.4568000000000001E-6</v>
      </c>
      <c r="S125" s="256">
        <v>9.3730285999999996E-2</v>
      </c>
    </row>
    <row r="126" spans="5:19">
      <c r="E126" s="45" t="s">
        <v>12</v>
      </c>
      <c r="F126" s="242">
        <v>3.4854000000000002E-5</v>
      </c>
      <c r="G126" s="243">
        <v>2.1529999999999999E-5</v>
      </c>
      <c r="H126" s="255">
        <v>9.8951399999999996E-5</v>
      </c>
      <c r="I126" s="243">
        <v>4.3482000000000001E-5</v>
      </c>
      <c r="J126" s="243">
        <v>2.7905599999999999E-5</v>
      </c>
      <c r="K126" s="255">
        <v>3.1448000000000001E-5</v>
      </c>
      <c r="L126" s="256">
        <v>1.064388E-4</v>
      </c>
      <c r="M126" s="242">
        <v>9.5149999999999995E-6</v>
      </c>
      <c r="N126" s="243">
        <v>1.6682599999999998E-5</v>
      </c>
      <c r="O126" s="243">
        <v>2.4464E-6</v>
      </c>
      <c r="P126" s="255">
        <v>3.0304999999999999E-5</v>
      </c>
      <c r="Q126" s="255">
        <v>1.194852E-4</v>
      </c>
      <c r="R126" s="255">
        <v>8.9999999999999999E-8</v>
      </c>
      <c r="S126" s="256">
        <v>4.8061840000000001E-4</v>
      </c>
    </row>
    <row r="127" spans="5:19">
      <c r="E127" s="46" t="s">
        <v>13</v>
      </c>
      <c r="F127" s="257">
        <v>4.4258600000000002E-4</v>
      </c>
      <c r="G127" s="246">
        <v>5.2638E-5</v>
      </c>
      <c r="H127" s="258">
        <v>2.3831600000000001E-5</v>
      </c>
      <c r="I127" s="246">
        <v>2.4740519999999998E-4</v>
      </c>
      <c r="J127" s="246">
        <v>1.9729780000000001E-4</v>
      </c>
      <c r="K127" s="258"/>
      <c r="L127" s="259"/>
      <c r="M127" s="245">
        <v>1.4863599999999999E-5</v>
      </c>
      <c r="N127" s="246">
        <v>2.3020000000000002E-6</v>
      </c>
      <c r="O127" s="246">
        <v>4.2274200000000003E-5</v>
      </c>
      <c r="P127" s="258">
        <v>2.4683200000000001E-5</v>
      </c>
      <c r="Q127" s="258">
        <v>3.08664E-4</v>
      </c>
      <c r="R127" s="258">
        <v>2.1764279999999999E-4</v>
      </c>
      <c r="S127" s="259">
        <v>2.5537E-5</v>
      </c>
    </row>
    <row r="129" spans="5:19">
      <c r="E129" s="40" t="s">
        <v>21</v>
      </c>
      <c r="F129" s="41" t="s">
        <v>0</v>
      </c>
      <c r="G129" s="42" t="s">
        <v>1</v>
      </c>
      <c r="H129" s="42" t="s">
        <v>2</v>
      </c>
      <c r="I129" s="42" t="s">
        <v>3</v>
      </c>
      <c r="J129" s="42" t="s">
        <v>4</v>
      </c>
      <c r="K129" s="42" t="s">
        <v>5</v>
      </c>
      <c r="L129" s="43" t="s">
        <v>6</v>
      </c>
      <c r="M129" s="41" t="s">
        <v>7</v>
      </c>
      <c r="N129" s="42" t="s">
        <v>8</v>
      </c>
      <c r="O129" s="42" t="s">
        <v>9</v>
      </c>
      <c r="P129" s="42" t="s">
        <v>10</v>
      </c>
      <c r="Q129" s="42" t="s">
        <v>11</v>
      </c>
      <c r="R129" s="42" t="s">
        <v>12</v>
      </c>
      <c r="S129" s="43" t="s">
        <v>13</v>
      </c>
    </row>
    <row r="130" spans="5:19">
      <c r="E130" s="44" t="s">
        <v>0</v>
      </c>
      <c r="F130" s="230">
        <v>9.0622000000000001E-5</v>
      </c>
      <c r="G130" s="231">
        <v>1.8292800000000001E-4</v>
      </c>
      <c r="H130" s="231">
        <v>2.5391880000000001E-4</v>
      </c>
      <c r="I130" s="231">
        <v>1.110312E-4</v>
      </c>
      <c r="J130" s="231">
        <v>8.3584800000000007E-5</v>
      </c>
      <c r="K130" s="231">
        <v>2.3011759999999999E-4</v>
      </c>
      <c r="L130" s="232">
        <v>2.3525219999999999E-4</v>
      </c>
      <c r="M130" s="230">
        <v>2.9657799999999998E-4</v>
      </c>
      <c r="N130" s="231">
        <v>7.0355999999999999E-4</v>
      </c>
      <c r="O130" s="231">
        <v>2.329868E-4</v>
      </c>
      <c r="P130" s="231">
        <v>9.7051999999999897E-5</v>
      </c>
      <c r="Q130" s="248">
        <v>1.5768800000000001E-4</v>
      </c>
      <c r="R130" s="231">
        <v>1.4319039999999999E-4</v>
      </c>
      <c r="S130" s="232">
        <v>1.87016799999999E-4</v>
      </c>
    </row>
    <row r="131" spans="5:19">
      <c r="E131" s="45" t="s">
        <v>1</v>
      </c>
      <c r="F131" s="233">
        <v>1.13749999999999E-4</v>
      </c>
      <c r="G131" s="234">
        <v>5.5492000000000003E-5</v>
      </c>
      <c r="H131" s="234">
        <v>2.5277600000000002E-4</v>
      </c>
      <c r="I131" s="234">
        <v>1.36941199999999E-4</v>
      </c>
      <c r="J131" s="234">
        <v>1.10132E-5</v>
      </c>
      <c r="K131" s="234">
        <v>2.6071800000000001E-4</v>
      </c>
      <c r="L131" s="235">
        <v>2.37882E-4</v>
      </c>
      <c r="M131" s="233">
        <v>4.8489859999999998E-4</v>
      </c>
      <c r="N131" s="234">
        <v>1.9107679999999901E-4</v>
      </c>
      <c r="O131" s="234">
        <v>5.5522000000000001E-5</v>
      </c>
      <c r="P131" s="249">
        <v>6.9135999999999997E-5</v>
      </c>
      <c r="Q131" s="249">
        <v>2.4379E-4</v>
      </c>
      <c r="R131" s="234">
        <v>1.1903799999999999E-5</v>
      </c>
      <c r="S131" s="235">
        <v>1.4804999999999999E-4</v>
      </c>
    </row>
    <row r="132" spans="5:19">
      <c r="E132" s="45" t="s">
        <v>2</v>
      </c>
      <c r="F132" s="233">
        <v>3.5234239999999998E-4</v>
      </c>
      <c r="G132" s="234">
        <v>3.8274279999999901E-4</v>
      </c>
      <c r="H132" s="234">
        <v>1.7482E-5</v>
      </c>
      <c r="I132" s="249">
        <v>1.22014E-4</v>
      </c>
      <c r="J132" s="249">
        <v>1.504372E-4</v>
      </c>
      <c r="K132" s="249">
        <v>5.49372E-5</v>
      </c>
      <c r="L132" s="250">
        <v>9.9990691999999898E-3</v>
      </c>
      <c r="M132" s="233">
        <v>4.1547959999999902E-4</v>
      </c>
      <c r="N132" s="234">
        <v>3.5509540000000002E-4</v>
      </c>
      <c r="O132" s="249">
        <v>1.5567459999999999E-3</v>
      </c>
      <c r="P132" s="234">
        <v>8.4641999999999994E-5</v>
      </c>
      <c r="Q132" s="234">
        <v>2.5179199999999998E-4</v>
      </c>
      <c r="R132" s="249">
        <v>3.6905091999999899E-3</v>
      </c>
      <c r="S132" s="250">
        <v>1.2435532E-3</v>
      </c>
    </row>
    <row r="133" spans="5:19">
      <c r="E133" s="45" t="s">
        <v>3</v>
      </c>
      <c r="F133" s="233">
        <v>1.8007480000000001E-4</v>
      </c>
      <c r="G133" s="234">
        <v>1.823068E-4</v>
      </c>
      <c r="H133" s="234">
        <v>2.4823800000000002E-4</v>
      </c>
      <c r="I133" s="249">
        <v>1.2552E-4</v>
      </c>
      <c r="J133" s="249"/>
      <c r="K133" s="234">
        <v>2.0784800000000001E-5</v>
      </c>
      <c r="L133" s="235">
        <v>1.616124E-4</v>
      </c>
      <c r="M133" s="233">
        <v>2.07346599999999E-4</v>
      </c>
      <c r="N133" s="234">
        <v>1.975042E-4</v>
      </c>
      <c r="O133" s="249">
        <v>2.5299999999999899E-4</v>
      </c>
      <c r="P133" s="249">
        <v>1.7719999999999999E-6</v>
      </c>
      <c r="Q133" s="249">
        <v>2.8584759999999998E-4</v>
      </c>
      <c r="R133" s="234">
        <v>1.50446599999999E-4</v>
      </c>
      <c r="S133" s="235">
        <v>2.1841159999999999E-4</v>
      </c>
    </row>
    <row r="134" spans="5:19">
      <c r="E134" s="45" t="s">
        <v>4</v>
      </c>
      <c r="F134" s="233">
        <v>1.6931720000000001E-4</v>
      </c>
      <c r="G134" s="234">
        <v>2.2453220000000001E-4</v>
      </c>
      <c r="H134" s="234">
        <v>1.16939999999999E-6</v>
      </c>
      <c r="I134" s="249">
        <v>1.131126E-4</v>
      </c>
      <c r="J134" s="249">
        <v>2.68984E-5</v>
      </c>
      <c r="K134" s="249">
        <v>4.7290399999999902E-5</v>
      </c>
      <c r="L134" s="250">
        <v>2.2697671999999999E-2</v>
      </c>
      <c r="M134" s="233">
        <v>3.3322904E-3</v>
      </c>
      <c r="N134" s="234">
        <v>2.9697399999999998E-4</v>
      </c>
      <c r="O134" s="249">
        <v>2.2302999999999901E-4</v>
      </c>
      <c r="P134" s="234">
        <v>1.4777519999999999E-4</v>
      </c>
      <c r="Q134" s="249">
        <v>5.5289199999999999E-5</v>
      </c>
      <c r="R134" s="249">
        <v>3.5267600000000001E-5</v>
      </c>
      <c r="S134" s="250"/>
    </row>
    <row r="135" spans="5:19">
      <c r="E135" s="45" t="s">
        <v>5</v>
      </c>
      <c r="F135" s="233">
        <v>1.481016E-4</v>
      </c>
      <c r="G135" s="234">
        <v>1.92005E-4</v>
      </c>
      <c r="H135" s="234">
        <v>3.3696799999999999E-5</v>
      </c>
      <c r="I135" s="249">
        <v>6.7361199999999995E-5</v>
      </c>
      <c r="J135" s="249">
        <v>3.1584315999999999E-3</v>
      </c>
      <c r="K135" s="249">
        <v>8.5484399999999998E-5</v>
      </c>
      <c r="L135" s="250">
        <v>4.3328259999999997E-3</v>
      </c>
      <c r="M135" s="233">
        <v>2.8234479999999899E-4</v>
      </c>
      <c r="N135" s="234">
        <v>1.05262E-4</v>
      </c>
      <c r="O135" s="249">
        <v>8.5623000000000003E-4</v>
      </c>
      <c r="P135" s="234">
        <v>2.270218E-4</v>
      </c>
      <c r="Q135" s="234">
        <v>1.6152239999999899E-4</v>
      </c>
      <c r="R135" s="249">
        <v>9.3572199999999897E-5</v>
      </c>
      <c r="S135" s="250">
        <v>3.620804E-4</v>
      </c>
    </row>
    <row r="136" spans="5:19">
      <c r="E136" s="46" t="s">
        <v>6</v>
      </c>
      <c r="F136" s="236">
        <v>1.83828E-4</v>
      </c>
      <c r="G136" s="237">
        <v>1.7547600000000001E-4</v>
      </c>
      <c r="H136" s="237">
        <v>2.2500919999999999E-4</v>
      </c>
      <c r="I136" s="251">
        <v>2.9585599999999898E-5</v>
      </c>
      <c r="J136" s="251">
        <v>1.448884E-4</v>
      </c>
      <c r="K136" s="251">
        <v>2.6821780000000001E-4</v>
      </c>
      <c r="L136" s="252">
        <v>4.3794400000000002E-5</v>
      </c>
      <c r="M136" s="253">
        <v>2.110332E-4</v>
      </c>
      <c r="N136" s="237">
        <v>1.9539479999999999E-4</v>
      </c>
      <c r="O136" s="251">
        <v>1.515156E-4</v>
      </c>
      <c r="P136" s="237">
        <v>3.73457E-4</v>
      </c>
      <c r="Q136" s="237">
        <v>2.504036E-4</v>
      </c>
      <c r="R136" s="251">
        <v>2.2821159999999999E-4</v>
      </c>
      <c r="S136" s="252"/>
    </row>
    <row r="137" spans="5:19">
      <c r="E137" s="44" t="s">
        <v>7</v>
      </c>
      <c r="F137" s="239">
        <v>3.17435799999999E-4</v>
      </c>
      <c r="G137" s="240">
        <v>5.8491320000000002E-4</v>
      </c>
      <c r="H137" s="240">
        <v>2.321124E-4</v>
      </c>
      <c r="I137" s="240">
        <v>1.20603E-4</v>
      </c>
      <c r="J137" s="254">
        <v>9.8589599999999894E-5</v>
      </c>
      <c r="K137" s="240">
        <v>1.3231000000000001E-4</v>
      </c>
      <c r="L137" s="241">
        <v>1.8427339999999999E-4</v>
      </c>
      <c r="M137" s="239">
        <v>8.1417199999999902E-5</v>
      </c>
      <c r="N137" s="240">
        <v>1.8323379999999999E-4</v>
      </c>
      <c r="O137" s="240">
        <v>2.4925480000000002E-4</v>
      </c>
      <c r="P137" s="240">
        <v>7.9341799999999905E-5</v>
      </c>
      <c r="Q137" s="240">
        <v>6.99695999999999E-5</v>
      </c>
      <c r="R137" s="240">
        <v>2.3497599999999999E-4</v>
      </c>
      <c r="S137" s="241">
        <v>2.367592E-4</v>
      </c>
    </row>
    <row r="138" spans="5:19">
      <c r="E138" s="45" t="s">
        <v>8</v>
      </c>
      <c r="F138" s="242">
        <v>5.2704379999999999E-4</v>
      </c>
      <c r="G138" s="243">
        <v>1.9831199999999999E-4</v>
      </c>
      <c r="H138" s="243">
        <v>5.01203999999999E-5</v>
      </c>
      <c r="I138" s="255"/>
      <c r="J138" s="255"/>
      <c r="K138" s="243">
        <v>1.5876599999999901E-5</v>
      </c>
      <c r="L138" s="244">
        <v>1.40063E-4</v>
      </c>
      <c r="M138" s="242">
        <v>1.11093599999999E-4</v>
      </c>
      <c r="N138" s="243">
        <v>4.95602E-5</v>
      </c>
      <c r="O138" s="243">
        <v>2.5560399999999999E-4</v>
      </c>
      <c r="P138" s="243">
        <v>1.2150479999999901E-4</v>
      </c>
      <c r="Q138" s="243">
        <v>1.4599E-5</v>
      </c>
      <c r="R138" s="243">
        <v>2.6052900000000001E-4</v>
      </c>
      <c r="S138" s="244">
        <v>2.3909199999999999E-4</v>
      </c>
    </row>
    <row r="139" spans="5:19">
      <c r="E139" s="45" t="s">
        <v>9</v>
      </c>
      <c r="F139" s="242">
        <v>4.4196840000000002E-4</v>
      </c>
      <c r="G139" s="243">
        <v>3.28641999999999E-4</v>
      </c>
      <c r="H139" s="255">
        <v>4.2837119999999902E-4</v>
      </c>
      <c r="I139" s="243">
        <v>1.1406399999999899E-4</v>
      </c>
      <c r="J139" s="243">
        <v>2.2253400000000001E-4</v>
      </c>
      <c r="K139" s="243">
        <v>2.6410755999999999E-3</v>
      </c>
      <c r="L139" s="244">
        <v>5.95796E-4</v>
      </c>
      <c r="M139" s="242">
        <v>2.3246200000000001E-4</v>
      </c>
      <c r="N139" s="243">
        <v>3.150548E-4</v>
      </c>
      <c r="O139" s="243">
        <v>1.69504E-5</v>
      </c>
      <c r="P139" s="255">
        <v>2.481556E-4</v>
      </c>
      <c r="Q139" s="255">
        <v>1.5830719999999999E-4</v>
      </c>
      <c r="R139" s="255">
        <v>1.3422E-5</v>
      </c>
      <c r="S139" s="256">
        <v>3.3443444000000001E-3</v>
      </c>
    </row>
    <row r="140" spans="5:19">
      <c r="E140" s="45" t="s">
        <v>10</v>
      </c>
      <c r="F140" s="242">
        <v>1.7714679999999999E-4</v>
      </c>
      <c r="G140" s="243">
        <v>1.92241799999999E-4</v>
      </c>
      <c r="H140" s="255">
        <v>1.4771479999999999E-4</v>
      </c>
      <c r="I140" s="255">
        <v>4.9503399999999998E-5</v>
      </c>
      <c r="J140" s="255">
        <v>2.1283000000000001E-4</v>
      </c>
      <c r="K140" s="243">
        <v>1.7226740000000001E-4</v>
      </c>
      <c r="L140" s="244">
        <v>2.240404E-4</v>
      </c>
      <c r="M140" s="242">
        <v>1.7479559999999901E-4</v>
      </c>
      <c r="N140" s="243">
        <v>1.8164099999999999E-4</v>
      </c>
      <c r="O140" s="243">
        <v>2.5087599999999997E-4</v>
      </c>
      <c r="P140" s="255">
        <v>9.0607199999999995E-5</v>
      </c>
      <c r="Q140" s="255"/>
      <c r="R140" s="243">
        <v>1.5752399999999998E-5</v>
      </c>
      <c r="S140" s="244">
        <v>1.5567240000000001E-4</v>
      </c>
    </row>
    <row r="141" spans="5:19">
      <c r="E141" s="45" t="s">
        <v>11</v>
      </c>
      <c r="F141" s="242">
        <v>2.1395310000000001E-3</v>
      </c>
      <c r="G141" s="243">
        <v>3.0366399999999998E-4</v>
      </c>
      <c r="H141" s="255">
        <v>1.7048160799999899E-2</v>
      </c>
      <c r="I141" s="243">
        <v>1.3755620000000001E-4</v>
      </c>
      <c r="J141" s="255">
        <v>8.1772800000000004E-5</v>
      </c>
      <c r="K141" s="255">
        <v>5.0352399999999901E-5</v>
      </c>
      <c r="L141" s="256"/>
      <c r="M141" s="242">
        <v>1.7940219999999999E-4</v>
      </c>
      <c r="N141" s="243">
        <v>2.1668739999999999E-4</v>
      </c>
      <c r="O141" s="243">
        <v>3.4384E-6</v>
      </c>
      <c r="P141" s="255">
        <v>1.0723919999999999E-4</v>
      </c>
      <c r="Q141" s="255">
        <v>2.30776E-4</v>
      </c>
      <c r="R141" s="255">
        <v>1.2953439999999899E-4</v>
      </c>
      <c r="S141" s="256">
        <v>9.3730285999999996E-2</v>
      </c>
    </row>
    <row r="142" spans="5:19">
      <c r="E142" s="45" t="s">
        <v>12</v>
      </c>
      <c r="F142" s="242">
        <v>3.1719400000000003E-4</v>
      </c>
      <c r="G142" s="243">
        <v>1.20821399999999E-4</v>
      </c>
      <c r="H142" s="255">
        <v>1.955092E-4</v>
      </c>
      <c r="I142" s="243">
        <v>2.3232099999999999E-4</v>
      </c>
      <c r="J142" s="243">
        <v>2.014966E-4</v>
      </c>
      <c r="K142" s="255">
        <v>9.1261999999999995E-5</v>
      </c>
      <c r="L142" s="256">
        <v>3.1931639999999899E-4</v>
      </c>
      <c r="M142" s="242">
        <v>1.51035199999999E-4</v>
      </c>
      <c r="N142" s="243">
        <v>1.9994359999999999E-4</v>
      </c>
      <c r="O142" s="243">
        <v>3.1798799999999998E-5</v>
      </c>
      <c r="P142" s="255">
        <v>1.2376100000000001E-4</v>
      </c>
      <c r="Q142" s="255">
        <v>3.0722759999999899E-4</v>
      </c>
      <c r="R142" s="255">
        <v>1.7329999999999998E-5</v>
      </c>
      <c r="S142" s="256">
        <v>1.4257152E-3</v>
      </c>
    </row>
    <row r="143" spans="5:19">
      <c r="E143" s="46" t="s">
        <v>13</v>
      </c>
      <c r="F143" s="257">
        <v>4.4258600000000002E-4</v>
      </c>
      <c r="G143" s="246">
        <v>2.1154400000000001E-4</v>
      </c>
      <c r="H143" s="258">
        <v>1.502292E-4</v>
      </c>
      <c r="I143" s="246">
        <v>3.8033739999999999E-4</v>
      </c>
      <c r="J143" s="246">
        <v>2.4249779999999999E-4</v>
      </c>
      <c r="K143" s="258"/>
      <c r="L143" s="259"/>
      <c r="M143" s="245">
        <v>1.820898E-4</v>
      </c>
      <c r="N143" s="246">
        <v>1.7463959999999999E-4</v>
      </c>
      <c r="O143" s="246">
        <v>2.2951539999999999E-4</v>
      </c>
      <c r="P143" s="258">
        <v>9.2423599999999994E-5</v>
      </c>
      <c r="Q143" s="258">
        <v>3.08664E-4</v>
      </c>
      <c r="R143" s="258">
        <v>2.445444E-4</v>
      </c>
      <c r="S143" s="259">
        <v>3.5095999999999997E-5</v>
      </c>
    </row>
    <row r="145" spans="5:19">
      <c r="E145" s="40" t="s">
        <v>21</v>
      </c>
      <c r="F145" s="41" t="s">
        <v>0</v>
      </c>
      <c r="G145" s="42" t="s">
        <v>1</v>
      </c>
      <c r="H145" s="42" t="s">
        <v>2</v>
      </c>
      <c r="I145" s="42" t="s">
        <v>3</v>
      </c>
      <c r="J145" s="42" t="s">
        <v>4</v>
      </c>
      <c r="K145" s="42" t="s">
        <v>5</v>
      </c>
      <c r="L145" s="43" t="s">
        <v>6</v>
      </c>
      <c r="M145" s="41" t="s">
        <v>7</v>
      </c>
      <c r="N145" s="42" t="s">
        <v>8</v>
      </c>
      <c r="O145" s="42" t="s">
        <v>9</v>
      </c>
      <c r="P145" s="42" t="s">
        <v>10</v>
      </c>
      <c r="Q145" s="42" t="s">
        <v>11</v>
      </c>
      <c r="R145" s="42" t="s">
        <v>12</v>
      </c>
      <c r="S145" s="43" t="s">
        <v>13</v>
      </c>
    </row>
    <row r="146" spans="5:19">
      <c r="E146" s="44" t="s">
        <v>0</v>
      </c>
      <c r="F146" s="230">
        <v>2.2704999999999999E-4</v>
      </c>
      <c r="G146" s="231">
        <v>2.5212800000000001E-4</v>
      </c>
      <c r="H146" s="231">
        <v>2.9702400000000001E-4</v>
      </c>
      <c r="I146" s="231">
        <v>2.38328E-4</v>
      </c>
      <c r="J146" s="231">
        <v>2.61134E-4</v>
      </c>
      <c r="K146" s="231">
        <v>2.9533400000000002E-4</v>
      </c>
      <c r="L146" s="232">
        <v>2.7273199999999998E-4</v>
      </c>
      <c r="M146" s="230">
        <v>6.0748160000000002E-3</v>
      </c>
      <c r="N146" s="231">
        <v>7.6383759999999997E-3</v>
      </c>
      <c r="O146" s="231">
        <v>3.3754E-4</v>
      </c>
      <c r="P146" s="231">
        <v>2.2815800000000001E-4</v>
      </c>
      <c r="Q146" s="248">
        <v>2.19092E-4</v>
      </c>
      <c r="R146" s="231">
        <v>2.6314600000000002E-4</v>
      </c>
      <c r="S146" s="232">
        <v>3.4967800000000002E-4</v>
      </c>
    </row>
    <row r="147" spans="5:19">
      <c r="E147" s="45" t="s">
        <v>1</v>
      </c>
      <c r="F147" s="233">
        <v>2.1436799999999999E-4</v>
      </c>
      <c r="G147" s="234">
        <v>1.9880399999999999E-4</v>
      </c>
      <c r="H147" s="234">
        <v>2.97688E-4</v>
      </c>
      <c r="I147" s="234">
        <v>2.4838799999999999E-4</v>
      </c>
      <c r="J147" s="234">
        <v>2.9413399999999999E-4</v>
      </c>
      <c r="K147" s="234">
        <v>3.2129199999999999E-4</v>
      </c>
      <c r="L147" s="235">
        <v>3.2275000000000001E-4</v>
      </c>
      <c r="M147" s="233">
        <v>4.4887479999999999E-3</v>
      </c>
      <c r="N147" s="234">
        <v>1.0885980000000001E-3</v>
      </c>
      <c r="O147" s="234">
        <v>1.73666E-4</v>
      </c>
      <c r="P147" s="249">
        <v>2.9236799999999999E-4</v>
      </c>
      <c r="Q147" s="249">
        <v>2.4379E-4</v>
      </c>
      <c r="R147" s="234">
        <v>1.03347E-4</v>
      </c>
      <c r="S147" s="235">
        <v>3.62164E-4</v>
      </c>
    </row>
    <row r="148" spans="5:19">
      <c r="E148" s="45" t="s">
        <v>2</v>
      </c>
      <c r="F148" s="233">
        <v>1.8062562000000001E-2</v>
      </c>
      <c r="G148" s="234">
        <v>1.0387598E-2</v>
      </c>
      <c r="H148" s="234">
        <v>9.9567000000000004E-5</v>
      </c>
      <c r="I148" s="249">
        <v>2.7265940000000002E-3</v>
      </c>
      <c r="J148" s="249">
        <v>1.9050800000000001E-4</v>
      </c>
      <c r="K148" s="249">
        <v>2.0878800000000001E-4</v>
      </c>
      <c r="L148" s="250">
        <v>1.7511769999999999E-2</v>
      </c>
      <c r="M148" s="233">
        <v>1.5916019E-2</v>
      </c>
      <c r="N148" s="234">
        <v>1.2117843999999999E-2</v>
      </c>
      <c r="O148" s="249">
        <v>7.6559252999999994E-2</v>
      </c>
      <c r="P148" s="234">
        <v>2.1961699999999999E-4</v>
      </c>
      <c r="Q148" s="234">
        <v>3.1197799999999997E-4</v>
      </c>
      <c r="R148" s="249">
        <v>1.1447324E-2</v>
      </c>
      <c r="S148" s="250">
        <v>3.198668E-3</v>
      </c>
    </row>
    <row r="149" spans="5:19">
      <c r="E149" s="45" t="s">
        <v>3</v>
      </c>
      <c r="F149" s="233">
        <v>4.9945700000000003E-4</v>
      </c>
      <c r="G149" s="234">
        <v>6.3824599999999997E-4</v>
      </c>
      <c r="H149" s="234">
        <v>2.8467199999999997E-4</v>
      </c>
      <c r="I149" s="249">
        <v>1.7078199999999999E-4</v>
      </c>
      <c r="J149" s="249"/>
      <c r="K149" s="234">
        <v>2.42816E-4</v>
      </c>
      <c r="L149" s="235">
        <v>3.0647600000000002E-4</v>
      </c>
      <c r="M149" s="233">
        <v>1.884178E-3</v>
      </c>
      <c r="N149" s="234">
        <v>9.2730299999999998E-4</v>
      </c>
      <c r="O149" s="249">
        <v>3.4588899999999999E-4</v>
      </c>
      <c r="P149" s="249">
        <v>2.7194000000000001E-5</v>
      </c>
      <c r="Q149" s="249">
        <v>2.9808599999999998E-4</v>
      </c>
      <c r="R149" s="234">
        <v>2.7693800000000001E-4</v>
      </c>
      <c r="S149" s="235">
        <v>5.3914700000000002E-4</v>
      </c>
    </row>
    <row r="150" spans="5:19">
      <c r="E150" s="45" t="s">
        <v>4</v>
      </c>
      <c r="F150" s="233">
        <v>1.3648759999999999E-3</v>
      </c>
      <c r="G150" s="234">
        <v>2.7977750000000002E-3</v>
      </c>
      <c r="H150" s="234">
        <v>3.0369E-5</v>
      </c>
      <c r="I150" s="249">
        <v>1.94055E-4</v>
      </c>
      <c r="J150" s="249">
        <v>3.5515999999999997E-5</v>
      </c>
      <c r="K150" s="249">
        <v>2.3123600000000001E-4</v>
      </c>
      <c r="L150" s="250">
        <v>2.2697671999999999E-2</v>
      </c>
      <c r="M150" s="233">
        <v>1.3457864E-2</v>
      </c>
      <c r="N150" s="234">
        <v>2.3177580000000001E-3</v>
      </c>
      <c r="O150" s="249">
        <v>1.398839E-3</v>
      </c>
      <c r="P150" s="234">
        <v>4.40691E-4</v>
      </c>
      <c r="Q150" s="249">
        <v>1.21594E-4</v>
      </c>
      <c r="R150" s="249">
        <v>4.5114000000000002E-5</v>
      </c>
      <c r="S150" s="250"/>
    </row>
    <row r="151" spans="5:19">
      <c r="E151" s="45" t="s">
        <v>5</v>
      </c>
      <c r="F151" s="233">
        <v>2.8245000000000001E-4</v>
      </c>
      <c r="G151" s="234">
        <v>3.9709400000000002E-4</v>
      </c>
      <c r="H151" s="234">
        <v>2.0938400000000001E-4</v>
      </c>
      <c r="I151" s="249">
        <v>1.8252599999999999E-4</v>
      </c>
      <c r="J151" s="249">
        <v>5.0821900000000003E-3</v>
      </c>
      <c r="K151" s="249">
        <v>2.08586E-4</v>
      </c>
      <c r="L151" s="250">
        <v>4.3328259999999997E-3</v>
      </c>
      <c r="M151" s="233">
        <v>3.5360460000000002E-3</v>
      </c>
      <c r="N151" s="234">
        <v>3.3977600000000002E-4</v>
      </c>
      <c r="O151" s="249">
        <v>3.650576E-3</v>
      </c>
      <c r="P151" s="234">
        <v>2.8172499999999998E-4</v>
      </c>
      <c r="Q151" s="234">
        <v>3.33794E-4</v>
      </c>
      <c r="R151" s="249">
        <v>7.6332699999999995E-4</v>
      </c>
      <c r="S151" s="250">
        <v>8.3058700000000004E-4</v>
      </c>
    </row>
    <row r="152" spans="5:19">
      <c r="E152" s="46" t="s">
        <v>6</v>
      </c>
      <c r="F152" s="236">
        <v>3.0112699999999999E-4</v>
      </c>
      <c r="G152" s="237">
        <v>2.2912799999999999E-4</v>
      </c>
      <c r="H152" s="237">
        <v>2.7023999999999999E-4</v>
      </c>
      <c r="I152" s="251">
        <v>1.5702500000000001E-4</v>
      </c>
      <c r="J152" s="251">
        <v>2.3772600000000001E-4</v>
      </c>
      <c r="K152" s="251">
        <v>3.5192099999999999E-4</v>
      </c>
      <c r="L152" s="252">
        <v>5.4471000000000001E-5</v>
      </c>
      <c r="M152" s="253">
        <v>2.17662E-4</v>
      </c>
      <c r="N152" s="237">
        <v>4.1323199999999998E-4</v>
      </c>
      <c r="O152" s="251">
        <v>2.3532800000000001E-4</v>
      </c>
      <c r="P152" s="237">
        <v>7.1059900000000002E-4</v>
      </c>
      <c r="Q152" s="237">
        <v>3.0167399999999999E-4</v>
      </c>
      <c r="R152" s="251">
        <v>2.61978E-4</v>
      </c>
      <c r="S152" s="252"/>
    </row>
    <row r="153" spans="5:19">
      <c r="E153" s="44" t="s">
        <v>7</v>
      </c>
      <c r="F153" s="239">
        <v>5.4961000000000003E-3</v>
      </c>
      <c r="G153" s="240">
        <v>5.7744620000000002E-3</v>
      </c>
      <c r="H153" s="240">
        <v>3.2171000000000001E-4</v>
      </c>
      <c r="I153" s="240">
        <v>2.4577900000000001E-4</v>
      </c>
      <c r="J153" s="254">
        <v>2.24222E-4</v>
      </c>
      <c r="K153" s="240">
        <v>2.5367599999999999E-4</v>
      </c>
      <c r="L153" s="241">
        <v>3.16724E-4</v>
      </c>
      <c r="M153" s="239">
        <v>2.17915E-4</v>
      </c>
      <c r="N153" s="240">
        <v>2.4897599999999998E-4</v>
      </c>
      <c r="O153" s="240">
        <v>2.9630800000000001E-4</v>
      </c>
      <c r="P153" s="240">
        <v>2.33878E-4</v>
      </c>
      <c r="Q153" s="240">
        <v>2.57254E-4</v>
      </c>
      <c r="R153" s="240">
        <v>2.9952000000000001E-4</v>
      </c>
      <c r="S153" s="241">
        <v>3.02811E-4</v>
      </c>
    </row>
    <row r="154" spans="5:19">
      <c r="E154" s="45" t="s">
        <v>8</v>
      </c>
      <c r="F154" s="242">
        <v>4.9861740000000003E-3</v>
      </c>
      <c r="G154" s="243">
        <v>1.218979E-3</v>
      </c>
      <c r="H154" s="243">
        <v>1.7321200000000001E-4</v>
      </c>
      <c r="I154" s="255"/>
      <c r="J154" s="255"/>
      <c r="K154" s="243">
        <v>1.31309E-4</v>
      </c>
      <c r="L154" s="244">
        <v>2.82556E-4</v>
      </c>
      <c r="M154" s="242">
        <v>2.11492E-4</v>
      </c>
      <c r="N154" s="243">
        <v>1.9865799999999999E-4</v>
      </c>
      <c r="O154" s="243">
        <v>3.0094399999999998E-4</v>
      </c>
      <c r="P154" s="243">
        <v>2.4580199999999999E-4</v>
      </c>
      <c r="Q154" s="243">
        <v>3.0253799999999998E-4</v>
      </c>
      <c r="R154" s="243">
        <v>3.1534299999999999E-4</v>
      </c>
      <c r="S154" s="244">
        <v>3.2974000000000002E-4</v>
      </c>
    </row>
    <row r="155" spans="5:19">
      <c r="E155" s="45" t="s">
        <v>9</v>
      </c>
      <c r="F155" s="242">
        <v>1.2631781999999999E-2</v>
      </c>
      <c r="G155" s="243">
        <v>9.6406340000000004E-3</v>
      </c>
      <c r="H155" s="255">
        <v>1.7593438999999999E-2</v>
      </c>
      <c r="I155" s="243">
        <v>2.29433E-4</v>
      </c>
      <c r="J155" s="243">
        <v>2.8633400000000001E-4</v>
      </c>
      <c r="K155" s="243">
        <v>1.1562421999999999E-2</v>
      </c>
      <c r="L155" s="244">
        <v>1.3531722E-2</v>
      </c>
      <c r="M155" s="242">
        <v>6.4816020000000004E-3</v>
      </c>
      <c r="N155" s="243">
        <v>5.9806119999999997E-3</v>
      </c>
      <c r="O155" s="243">
        <v>9.7103999999999997E-5</v>
      </c>
      <c r="P155" s="255">
        <v>2.0429559999999999E-3</v>
      </c>
      <c r="Q155" s="255">
        <v>2.39972E-4</v>
      </c>
      <c r="R155" s="255">
        <v>1.34206E-4</v>
      </c>
      <c r="S155" s="256">
        <v>1.7251776E-2</v>
      </c>
    </row>
    <row r="156" spans="5:19">
      <c r="E156" s="45" t="s">
        <v>10</v>
      </c>
      <c r="F156" s="242">
        <v>1.07146E-3</v>
      </c>
      <c r="G156" s="243">
        <v>7.3509699999999999E-4</v>
      </c>
      <c r="H156" s="255">
        <v>2.4745000000000002E-4</v>
      </c>
      <c r="I156" s="255">
        <v>1.12389E-4</v>
      </c>
      <c r="J156" s="255">
        <v>3.2293799999999999E-4</v>
      </c>
      <c r="K156" s="243">
        <v>2.8486199999999998E-4</v>
      </c>
      <c r="L156" s="244">
        <v>5.3221599999999996E-4</v>
      </c>
      <c r="M156" s="242">
        <v>4.0532200000000001E-4</v>
      </c>
      <c r="N156" s="243">
        <v>5.0407299999999996E-4</v>
      </c>
      <c r="O156" s="243">
        <v>3.04498E-4</v>
      </c>
      <c r="P156" s="255">
        <v>1.8640599999999999E-4</v>
      </c>
      <c r="Q156" s="255"/>
      <c r="R156" s="243">
        <v>2.3983899999999999E-4</v>
      </c>
      <c r="S156" s="244">
        <v>3.1515200000000002E-4</v>
      </c>
    </row>
    <row r="157" spans="5:19">
      <c r="E157" s="45" t="s">
        <v>11</v>
      </c>
      <c r="F157" s="242">
        <v>9.8598720000000004E-3</v>
      </c>
      <c r="G157" s="243">
        <v>5.7588880000000002E-3</v>
      </c>
      <c r="H157" s="255">
        <v>8.183878E-2</v>
      </c>
      <c r="I157" s="243">
        <v>2.7645300000000002E-4</v>
      </c>
      <c r="J157" s="255">
        <v>1.74246E-4</v>
      </c>
      <c r="K157" s="255">
        <v>5.1938000000000003E-5</v>
      </c>
      <c r="L157" s="256"/>
      <c r="M157" s="242">
        <v>9.6841500000000003E-4</v>
      </c>
      <c r="N157" s="243">
        <v>2.087715E-3</v>
      </c>
      <c r="O157" s="243">
        <v>5.7176000000000003E-5</v>
      </c>
      <c r="P157" s="255">
        <v>2.3610999999999999E-4</v>
      </c>
      <c r="Q157" s="255">
        <v>2.30776E-4</v>
      </c>
      <c r="R157" s="255">
        <v>2.24866E-4</v>
      </c>
      <c r="S157" s="256">
        <v>9.3730285999999996E-2</v>
      </c>
    </row>
    <row r="158" spans="5:19">
      <c r="E158" s="45" t="s">
        <v>12</v>
      </c>
      <c r="F158" s="242">
        <v>3.6299679999999999E-3</v>
      </c>
      <c r="G158" s="243">
        <v>3.8783300000000003E-4</v>
      </c>
      <c r="H158" s="255">
        <v>3.6038800000000001E-4</v>
      </c>
      <c r="I158" s="243">
        <v>2.9076599999999997E-4</v>
      </c>
      <c r="J158" s="243">
        <v>3.1952499999999997E-4</v>
      </c>
      <c r="K158" s="255">
        <v>2.8968599999999999E-4</v>
      </c>
      <c r="L158" s="256">
        <v>3.67838E-4</v>
      </c>
      <c r="M158" s="242">
        <v>2.95605E-4</v>
      </c>
      <c r="N158" s="243">
        <v>4.8920300000000001E-4</v>
      </c>
      <c r="O158" s="243">
        <v>2.1615E-4</v>
      </c>
      <c r="P158" s="255">
        <v>2.3278200000000001E-4</v>
      </c>
      <c r="Q158" s="255">
        <v>3.5480499999999998E-4</v>
      </c>
      <c r="R158" s="255">
        <v>1.22256E-4</v>
      </c>
      <c r="S158" s="256">
        <v>2.3708119999999999E-3</v>
      </c>
    </row>
    <row r="159" spans="5:19">
      <c r="E159" s="46" t="s">
        <v>13</v>
      </c>
      <c r="F159" s="257">
        <v>4.4258600000000002E-4</v>
      </c>
      <c r="G159" s="246">
        <v>4.4575399999999997E-4</v>
      </c>
      <c r="H159" s="258">
        <v>5.5498600000000004E-4</v>
      </c>
      <c r="I159" s="246">
        <v>7.6241000000000004E-4</v>
      </c>
      <c r="J159" s="246">
        <v>3.1597599999999998E-4</v>
      </c>
      <c r="K159" s="258"/>
      <c r="L159" s="259"/>
      <c r="M159" s="245">
        <v>2.9699899999999999E-4</v>
      </c>
      <c r="N159" s="246">
        <v>2.3263E-4</v>
      </c>
      <c r="O159" s="246">
        <v>2.8502099999999999E-4</v>
      </c>
      <c r="P159" s="258">
        <v>1.8365800000000001E-4</v>
      </c>
      <c r="Q159" s="258">
        <v>3.08664E-4</v>
      </c>
      <c r="R159" s="258">
        <v>2.6308400000000002E-4</v>
      </c>
      <c r="S159" s="259">
        <v>3.6738E-5</v>
      </c>
    </row>
    <row r="161" spans="5:19">
      <c r="E161" s="40" t="s">
        <v>21</v>
      </c>
      <c r="F161" s="41" t="s">
        <v>0</v>
      </c>
      <c r="G161" s="42" t="s">
        <v>1</v>
      </c>
      <c r="H161" s="42" t="s">
        <v>2</v>
      </c>
      <c r="I161" s="42" t="s">
        <v>3</v>
      </c>
      <c r="J161" s="42" t="s">
        <v>4</v>
      </c>
      <c r="K161" s="42" t="s">
        <v>5</v>
      </c>
      <c r="L161" s="43" t="s">
        <v>6</v>
      </c>
      <c r="M161" s="41" t="s">
        <v>7</v>
      </c>
      <c r="N161" s="42" t="s">
        <v>8</v>
      </c>
      <c r="O161" s="42" t="s">
        <v>9</v>
      </c>
      <c r="P161" s="42" t="s">
        <v>10</v>
      </c>
      <c r="Q161" s="42" t="s">
        <v>11</v>
      </c>
      <c r="R161" s="42" t="s">
        <v>12</v>
      </c>
      <c r="S161" s="43" t="s">
        <v>13</v>
      </c>
    </row>
    <row r="162" spans="5:19">
      <c r="E162" s="44" t="s">
        <v>0</v>
      </c>
      <c r="F162" s="230">
        <v>2.8401759999999998E-3</v>
      </c>
      <c r="G162" s="231">
        <v>2.5247607999999999E-3</v>
      </c>
      <c r="H162" s="231">
        <v>3.69297599999999E-4</v>
      </c>
      <c r="I162" s="231">
        <v>3.1532879999999998E-4</v>
      </c>
      <c r="J162" s="231">
        <v>3.4417239999999998E-4</v>
      </c>
      <c r="K162" s="231">
        <v>3.6900559999999998E-4</v>
      </c>
      <c r="L162" s="232">
        <v>5.8452199999999997E-4</v>
      </c>
      <c r="M162" s="230">
        <v>4.4908969999999999E-2</v>
      </c>
      <c r="N162" s="231">
        <v>4.9733346599999902E-2</v>
      </c>
      <c r="O162" s="231">
        <v>9.1552919999999996E-4</v>
      </c>
      <c r="P162" s="231">
        <v>4.6822639999999902E-4</v>
      </c>
      <c r="Q162" s="248">
        <v>4.3951119999999997E-4</v>
      </c>
      <c r="R162" s="231">
        <v>5.1510200000000003E-4</v>
      </c>
      <c r="S162" s="232">
        <v>1.82895239999999E-3</v>
      </c>
    </row>
    <row r="163" spans="5:19">
      <c r="E163" s="45" t="s">
        <v>1</v>
      </c>
      <c r="F163" s="233">
        <v>1.0857936E-3</v>
      </c>
      <c r="G163" s="234">
        <v>5.6988159999999896E-4</v>
      </c>
      <c r="H163" s="234">
        <v>3.7083E-4</v>
      </c>
      <c r="I163" s="234">
        <v>3.0170000000000002E-4</v>
      </c>
      <c r="J163" s="234">
        <v>3.883076E-4</v>
      </c>
      <c r="K163" s="234">
        <v>4.6798599999999901E-4</v>
      </c>
      <c r="L163" s="235">
        <v>4.9985959999999995E-4</v>
      </c>
      <c r="M163" s="233">
        <v>2.00818987999999E-2</v>
      </c>
      <c r="N163" s="234">
        <v>9.9625644000000003E-3</v>
      </c>
      <c r="O163" s="234">
        <v>5.7827720000000005E-4</v>
      </c>
      <c r="P163" s="249">
        <v>3.6354239999999998E-4</v>
      </c>
      <c r="Q163" s="249">
        <v>2.4379E-4</v>
      </c>
      <c r="R163" s="234">
        <v>2.85913E-4</v>
      </c>
      <c r="S163" s="235">
        <v>3.2431859999999999E-3</v>
      </c>
    </row>
    <row r="164" spans="5:19">
      <c r="E164" s="45" t="s">
        <v>2</v>
      </c>
      <c r="F164" s="233">
        <v>0.17109682639999901</v>
      </c>
      <c r="G164" s="234">
        <v>8.8802237999999895E-2</v>
      </c>
      <c r="H164" s="234">
        <v>2.7016019999999999E-4</v>
      </c>
      <c r="I164" s="249">
        <v>4.1581910799999899E-2</v>
      </c>
      <c r="J164" s="249">
        <v>5.0934639999999898E-4</v>
      </c>
      <c r="K164" s="249">
        <v>1.01594079999999E-3</v>
      </c>
      <c r="L164" s="250">
        <v>4.3284497200000001E-2</v>
      </c>
      <c r="M164" s="233">
        <v>0.15194438460000001</v>
      </c>
      <c r="N164" s="234">
        <v>0.108879592999999</v>
      </c>
      <c r="O164" s="249">
        <v>0.31468510999999999</v>
      </c>
      <c r="P164" s="234">
        <v>3.4120400000000001E-4</v>
      </c>
      <c r="Q164" s="234">
        <v>4.3904000000000002E-4</v>
      </c>
      <c r="R164" s="249">
        <v>3.1186565999999898E-2</v>
      </c>
      <c r="S164" s="250">
        <v>2.1839366400000001E-2</v>
      </c>
    </row>
    <row r="165" spans="5:19">
      <c r="E165" s="45" t="s">
        <v>3</v>
      </c>
      <c r="F165" s="233">
        <v>5.9638184000000002E-3</v>
      </c>
      <c r="G165" s="234">
        <v>6.8120647999999904E-3</v>
      </c>
      <c r="H165" s="234">
        <v>3.9906799999999998E-4</v>
      </c>
      <c r="I165" s="249">
        <v>2.5454999999999998E-4</v>
      </c>
      <c r="J165" s="249"/>
      <c r="K165" s="234">
        <v>3.0403519999999999E-4</v>
      </c>
      <c r="L165" s="235">
        <v>2.6676726E-3</v>
      </c>
      <c r="M165" s="233">
        <v>2.9684813199999899E-2</v>
      </c>
      <c r="N165" s="234">
        <v>1.3825934799999899E-2</v>
      </c>
      <c r="O165" s="249">
        <v>9.3784007999999797E-3</v>
      </c>
      <c r="P165" s="249">
        <v>7.2218000000000005E-5</v>
      </c>
      <c r="Q165" s="249">
        <v>3.1032439999999998E-4</v>
      </c>
      <c r="R165" s="234">
        <v>6.8405039999999901E-4</v>
      </c>
      <c r="S165" s="235">
        <v>3.5225513999999898E-3</v>
      </c>
    </row>
    <row r="166" spans="5:19">
      <c r="E166" s="45" t="s">
        <v>4</v>
      </c>
      <c r="F166" s="233">
        <v>2.35573174E-2</v>
      </c>
      <c r="G166" s="234">
        <v>1.40716492E-2</v>
      </c>
      <c r="H166" s="234">
        <v>2.0932619999999901E-4</v>
      </c>
      <c r="I166" s="249">
        <v>1.85366439999999E-3</v>
      </c>
      <c r="J166" s="249">
        <v>2.667592E-4</v>
      </c>
      <c r="K166" s="249">
        <v>7.2177039999999997E-4</v>
      </c>
      <c r="L166" s="250">
        <v>2.2697671999999999E-2</v>
      </c>
      <c r="M166" s="233">
        <v>6.08793087999999E-2</v>
      </c>
      <c r="N166" s="234">
        <v>1.1731036E-2</v>
      </c>
      <c r="O166" s="249">
        <v>8.0470995999999996E-3</v>
      </c>
      <c r="P166" s="234">
        <v>1.5063151999999999E-3</v>
      </c>
      <c r="Q166" s="249">
        <v>2.0034639999999901E-4</v>
      </c>
      <c r="R166" s="249">
        <v>9.2810000000000001E-5</v>
      </c>
      <c r="S166" s="250"/>
    </row>
    <row r="167" spans="5:19">
      <c r="E167" s="45" t="s">
        <v>5</v>
      </c>
      <c r="F167" s="233">
        <v>4.8198867999999897E-3</v>
      </c>
      <c r="G167" s="234">
        <v>7.8610510000000008E-3</v>
      </c>
      <c r="H167" s="234">
        <v>2.97378E-4</v>
      </c>
      <c r="I167" s="249">
        <v>3.0295879999999901E-4</v>
      </c>
      <c r="J167" s="249">
        <v>7.0059483999999998E-3</v>
      </c>
      <c r="K167" s="249">
        <v>3.8033279999999999E-4</v>
      </c>
      <c r="L167" s="250">
        <v>4.3328259999999997E-3</v>
      </c>
      <c r="M167" s="233">
        <v>3.57716904E-2</v>
      </c>
      <c r="N167" s="234">
        <v>5.1477399999999901E-3</v>
      </c>
      <c r="O167" s="249">
        <v>2.70031783999999E-2</v>
      </c>
      <c r="P167" s="234">
        <v>7.0975819999999899E-4</v>
      </c>
      <c r="Q167" s="234">
        <v>4.2023679999999999E-4</v>
      </c>
      <c r="R167" s="249">
        <v>1.45320791999999E-2</v>
      </c>
      <c r="S167" s="250">
        <v>2.8934182199999901E-2</v>
      </c>
    </row>
    <row r="168" spans="5:19">
      <c r="E168" s="46" t="s">
        <v>6</v>
      </c>
      <c r="F168" s="236">
        <v>1.9814139999999999E-3</v>
      </c>
      <c r="G168" s="237">
        <v>1.7265079999999901E-3</v>
      </c>
      <c r="H168" s="237">
        <v>3.6242320000000002E-4</v>
      </c>
      <c r="I168" s="251">
        <v>1.94847E-4</v>
      </c>
      <c r="J168" s="251">
        <v>2.4684840000000001E-4</v>
      </c>
      <c r="K168" s="251">
        <v>1.7489559999999901E-3</v>
      </c>
      <c r="L168" s="252">
        <v>5.6921399999999899E-5</v>
      </c>
      <c r="M168" s="253">
        <v>2.4226360000000001E-4</v>
      </c>
      <c r="N168" s="237">
        <v>2.66385839999999E-3</v>
      </c>
      <c r="O168" s="251">
        <v>1.3664027999999899E-3</v>
      </c>
      <c r="P168" s="237">
        <v>2.7156400000000001E-3</v>
      </c>
      <c r="Q168" s="237">
        <v>3.8408319999999998E-4</v>
      </c>
      <c r="R168" s="251">
        <v>2.7489959999999999E-4</v>
      </c>
      <c r="S168" s="252"/>
    </row>
    <row r="169" spans="5:19">
      <c r="E169" s="44" t="s">
        <v>7</v>
      </c>
      <c r="F169" s="239">
        <v>4.4009468199999902E-2</v>
      </c>
      <c r="G169" s="240">
        <v>4.0372947999999999E-2</v>
      </c>
      <c r="H169" s="240">
        <v>7.2459359999999895E-4</v>
      </c>
      <c r="I169" s="240">
        <v>5.3828199999999995E-4</v>
      </c>
      <c r="J169" s="254">
        <v>3.4649319999999998E-4</v>
      </c>
      <c r="K169" s="240">
        <v>4.9195840000000005E-4</v>
      </c>
      <c r="L169" s="241">
        <v>1.4660063999999899E-3</v>
      </c>
      <c r="M169" s="239">
        <v>2.2259439999999901E-3</v>
      </c>
      <c r="N169" s="240">
        <v>2.1469495999999898E-3</v>
      </c>
      <c r="O169" s="240">
        <v>3.7617439999999998E-4</v>
      </c>
      <c r="P169" s="240">
        <v>2.9247319999999998E-4</v>
      </c>
      <c r="Q169" s="240">
        <v>3.3734359999999997E-4</v>
      </c>
      <c r="R169" s="240">
        <v>3.6951799999999999E-4</v>
      </c>
      <c r="S169" s="241">
        <v>7.6502039999999996E-4</v>
      </c>
    </row>
    <row r="170" spans="5:19">
      <c r="E170" s="45" t="s">
        <v>8</v>
      </c>
      <c r="F170" s="242">
        <v>2.3948988599999901E-2</v>
      </c>
      <c r="G170" s="243">
        <v>1.0642603E-2</v>
      </c>
      <c r="H170" s="243">
        <v>5.5604439999999895E-4</v>
      </c>
      <c r="I170" s="255"/>
      <c r="J170" s="255"/>
      <c r="K170" s="243">
        <v>2.83157799999999E-4</v>
      </c>
      <c r="L170" s="244">
        <v>1.96646439999999E-3</v>
      </c>
      <c r="M170" s="242">
        <v>1.07116359999999E-3</v>
      </c>
      <c r="N170" s="243">
        <v>5.6510320000000003E-4</v>
      </c>
      <c r="O170" s="243">
        <v>3.8524719999999998E-4</v>
      </c>
      <c r="P170" s="243">
        <v>2.9316519999999998E-4</v>
      </c>
      <c r="Q170" s="243">
        <v>3.7851600000000002E-4</v>
      </c>
      <c r="R170" s="243">
        <v>4.5306200000000001E-4</v>
      </c>
      <c r="S170" s="244">
        <v>5.173736E-4</v>
      </c>
    </row>
    <row r="171" spans="5:19">
      <c r="E171" s="45" t="s">
        <v>9</v>
      </c>
      <c r="F171" s="242">
        <v>0.115431037599999</v>
      </c>
      <c r="G171" s="243">
        <v>7.1415453199999895E-2</v>
      </c>
      <c r="H171" s="255">
        <v>0.21580187739999901</v>
      </c>
      <c r="I171" s="243">
        <v>4.0201399999999899E-4</v>
      </c>
      <c r="J171" s="243">
        <v>3.601012E-4</v>
      </c>
      <c r="K171" s="243">
        <v>5.8829510799999901E-2</v>
      </c>
      <c r="L171" s="244">
        <v>2.5794494799999901E-2</v>
      </c>
      <c r="M171" s="242">
        <v>8.7963405999999897E-2</v>
      </c>
      <c r="N171" s="243">
        <v>6.1201564799999997E-2</v>
      </c>
      <c r="O171" s="243">
        <v>2.7003440000000002E-4</v>
      </c>
      <c r="P171" s="255">
        <v>1.0492381599999901E-2</v>
      </c>
      <c r="Q171" s="255">
        <v>4.8787180000000002E-4</v>
      </c>
      <c r="R171" s="255">
        <v>6.0481999999999897E-4</v>
      </c>
      <c r="S171" s="256">
        <v>0.103264072399999</v>
      </c>
    </row>
    <row r="172" spans="5:19">
      <c r="E172" s="45" t="s">
        <v>10</v>
      </c>
      <c r="F172" s="242">
        <v>1.39724703999999E-2</v>
      </c>
      <c r="G172" s="243">
        <v>1.1835404599999899E-2</v>
      </c>
      <c r="H172" s="255">
        <v>9.7013759999999797E-4</v>
      </c>
      <c r="I172" s="255">
        <v>2.2733900000000001E-4</v>
      </c>
      <c r="J172" s="255">
        <v>6.3618300000000002E-4</v>
      </c>
      <c r="K172" s="243">
        <v>6.0213679999999905E-4</v>
      </c>
      <c r="L172" s="244">
        <v>4.0647291999999901E-3</v>
      </c>
      <c r="M172" s="242">
        <v>6.2985812000000002E-3</v>
      </c>
      <c r="N172" s="243">
        <v>5.2366030000000003E-3</v>
      </c>
      <c r="O172" s="243">
        <v>3.8184999999999998E-4</v>
      </c>
      <c r="P172" s="255">
        <v>2.8320560000000001E-4</v>
      </c>
      <c r="Q172" s="255"/>
      <c r="R172" s="243">
        <v>3.00271999999999E-4</v>
      </c>
      <c r="S172" s="244">
        <v>2.3818559999999899E-3</v>
      </c>
    </row>
    <row r="173" spans="5:19">
      <c r="E173" s="45" t="s">
        <v>11</v>
      </c>
      <c r="F173" s="242">
        <v>5.0025888999999997E-2</v>
      </c>
      <c r="G173" s="243">
        <v>3.5414882000000002E-2</v>
      </c>
      <c r="H173" s="255">
        <v>0.10812102480000001</v>
      </c>
      <c r="I173" s="243">
        <v>1.2708165999999899E-3</v>
      </c>
      <c r="J173" s="255">
        <v>3.4414599999999998E-4</v>
      </c>
      <c r="K173" s="255">
        <v>1.7682038800000001E-2</v>
      </c>
      <c r="L173" s="256"/>
      <c r="M173" s="242">
        <v>1.7955579199999901E-2</v>
      </c>
      <c r="N173" s="243">
        <v>2.52360495999999E-2</v>
      </c>
      <c r="O173" s="243">
        <v>2.413448E-4</v>
      </c>
      <c r="P173" s="255">
        <v>2.3434987999999901E-3</v>
      </c>
      <c r="Q173" s="255">
        <v>2.30776E-4</v>
      </c>
      <c r="R173" s="255">
        <v>3.71301599999999E-4</v>
      </c>
      <c r="S173" s="256">
        <v>9.3730285999999996E-2</v>
      </c>
    </row>
    <row r="174" spans="5:19">
      <c r="E174" s="45" t="s">
        <v>12</v>
      </c>
      <c r="F174" s="242">
        <v>3.2157636000000003E-2</v>
      </c>
      <c r="G174" s="243">
        <v>4.7373145999999901E-3</v>
      </c>
      <c r="H174" s="255">
        <v>1.74317879999999E-3</v>
      </c>
      <c r="I174" s="243">
        <v>9.2412099999999899E-4</v>
      </c>
      <c r="J174" s="243">
        <v>4.2846259999999999E-4</v>
      </c>
      <c r="K174" s="255">
        <v>4.3348359999999999E-3</v>
      </c>
      <c r="L174" s="256">
        <v>4.3214379999999898E-4</v>
      </c>
      <c r="M174" s="242">
        <v>4.93317459999999E-3</v>
      </c>
      <c r="N174" s="243">
        <v>9.0542905999999902E-3</v>
      </c>
      <c r="O174" s="243">
        <v>3.0115840000000002E-4</v>
      </c>
      <c r="P174" s="255">
        <v>9.44581E-4</v>
      </c>
      <c r="Q174" s="255">
        <v>4.26191799999999E-4</v>
      </c>
      <c r="R174" s="255">
        <v>2.5553199999999999E-4</v>
      </c>
      <c r="S174" s="256">
        <v>0.122395927999999</v>
      </c>
    </row>
    <row r="175" spans="5:19">
      <c r="E175" s="46" t="s">
        <v>13</v>
      </c>
      <c r="F175" s="257">
        <v>4.4258600000000002E-4</v>
      </c>
      <c r="G175" s="246">
        <v>3.16300999999999E-3</v>
      </c>
      <c r="H175" s="258">
        <v>0.1037719332</v>
      </c>
      <c r="I175" s="246">
        <v>3.4493639999999899E-3</v>
      </c>
      <c r="J175" s="246">
        <v>4.27601E-4</v>
      </c>
      <c r="K175" s="258"/>
      <c r="L175" s="259"/>
      <c r="M175" s="245">
        <v>2.1376868E-3</v>
      </c>
      <c r="N175" s="246">
        <v>1.4317188000000001E-3</v>
      </c>
      <c r="O175" s="246">
        <v>4.3624439999999902E-4</v>
      </c>
      <c r="P175" s="258">
        <v>3.4828479999999998E-4</v>
      </c>
      <c r="Q175" s="258">
        <v>3.08664E-4</v>
      </c>
      <c r="R175" s="258">
        <v>3.4549379999999902E-4</v>
      </c>
      <c r="S175" s="259">
        <v>3.9223E-5</v>
      </c>
    </row>
    <row r="177" spans="5:19">
      <c r="E177" s="40" t="s">
        <v>21</v>
      </c>
      <c r="F177" s="41" t="s">
        <v>0</v>
      </c>
      <c r="G177" s="42" t="s">
        <v>1</v>
      </c>
      <c r="H177" s="42" t="s">
        <v>2</v>
      </c>
      <c r="I177" s="42" t="s">
        <v>3</v>
      </c>
      <c r="J177" s="42" t="s">
        <v>4</v>
      </c>
      <c r="K177" s="42" t="s">
        <v>5</v>
      </c>
      <c r="L177" s="43" t="s">
        <v>6</v>
      </c>
      <c r="M177" s="41" t="s">
        <v>7</v>
      </c>
      <c r="N177" s="42" t="s">
        <v>8</v>
      </c>
      <c r="O177" s="42" t="s">
        <v>9</v>
      </c>
      <c r="P177" s="42" t="s">
        <v>10</v>
      </c>
      <c r="Q177" s="42" t="s">
        <v>11</v>
      </c>
      <c r="R177" s="42" t="s">
        <v>12</v>
      </c>
      <c r="S177" s="43" t="s">
        <v>13</v>
      </c>
    </row>
    <row r="178" spans="5:19">
      <c r="E178" s="44" t="s">
        <v>0</v>
      </c>
      <c r="F178" s="230">
        <v>7.5941168000000003E-2</v>
      </c>
      <c r="G178" s="231">
        <v>6.5111563599999894E-2</v>
      </c>
      <c r="H178" s="231">
        <v>1.7429635999999999E-3</v>
      </c>
      <c r="I178" s="231">
        <v>3.9657384E-3</v>
      </c>
      <c r="J178" s="231">
        <v>5.3396759999999998E-4</v>
      </c>
      <c r="K178" s="231">
        <v>9.8410800000000003E-4</v>
      </c>
      <c r="L178" s="232">
        <v>1.6928972999999899E-2</v>
      </c>
      <c r="M178" s="230">
        <v>0.394982846</v>
      </c>
      <c r="N178" s="231">
        <v>0.28088277140000001</v>
      </c>
      <c r="O178" s="231">
        <v>6.6089345199999899E-2</v>
      </c>
      <c r="P178" s="231">
        <v>8.8444344000000001E-3</v>
      </c>
      <c r="Q178" s="248">
        <v>1.2094852E-3</v>
      </c>
      <c r="R178" s="231">
        <v>7.9086383999999992E-3</v>
      </c>
      <c r="S178" s="232">
        <v>2.3860576800000002E-2</v>
      </c>
    </row>
    <row r="179" spans="5:19">
      <c r="E179" s="45" t="s">
        <v>1</v>
      </c>
      <c r="F179" s="233">
        <v>4.3962084800000002E-2</v>
      </c>
      <c r="G179" s="234">
        <v>1.5957154399999899E-2</v>
      </c>
      <c r="H179" s="234">
        <v>2.2148699999999999E-3</v>
      </c>
      <c r="I179" s="234">
        <v>3.1863703999999902E-3</v>
      </c>
      <c r="J179" s="234">
        <v>5.6666720000000004E-4</v>
      </c>
      <c r="K179" s="234">
        <v>2.8380079999999999E-3</v>
      </c>
      <c r="L179" s="235">
        <v>1.2615807999999999E-2</v>
      </c>
      <c r="M179" s="233">
        <v>0.21605929199999899</v>
      </c>
      <c r="N179" s="234">
        <v>8.4727493200000004E-2</v>
      </c>
      <c r="O179" s="234">
        <v>2.08745295999999E-2</v>
      </c>
      <c r="P179" s="249">
        <v>7.3708200000000001E-4</v>
      </c>
      <c r="Q179" s="249">
        <v>2.4379E-4</v>
      </c>
      <c r="R179" s="234">
        <v>1.998573E-3</v>
      </c>
      <c r="S179" s="235">
        <v>3.9044424000000001E-2</v>
      </c>
    </row>
    <row r="180" spans="5:19">
      <c r="E180" s="45" t="s">
        <v>2</v>
      </c>
      <c r="F180" s="233">
        <v>1.0723516315999999</v>
      </c>
      <c r="G180" s="234">
        <v>0.68025947080000004</v>
      </c>
      <c r="H180" s="234">
        <v>1.7380122E-3</v>
      </c>
      <c r="I180" s="249">
        <v>0.55231164599999905</v>
      </c>
      <c r="J180" s="249">
        <v>1.2173138000000001E-3</v>
      </c>
      <c r="K180" s="249">
        <v>6.2494073199999903E-2</v>
      </c>
      <c r="L180" s="250">
        <v>0.46117513959999901</v>
      </c>
      <c r="M180" s="233">
        <v>0.93059691820000001</v>
      </c>
      <c r="N180" s="234">
        <v>0.80126407820000001</v>
      </c>
      <c r="O180" s="249">
        <v>1.5118414280000001</v>
      </c>
      <c r="P180" s="234">
        <v>2.2608049999999998E-3</v>
      </c>
      <c r="Q180" s="234">
        <v>7.5240400000000003E-4</v>
      </c>
      <c r="R180" s="249">
        <v>0.14340169359999999</v>
      </c>
      <c r="S180" s="250">
        <v>0.17723585159999899</v>
      </c>
    </row>
    <row r="181" spans="5:19">
      <c r="E181" s="45" t="s">
        <v>3</v>
      </c>
      <c r="F181" s="233">
        <v>7.8220284599999995E-2</v>
      </c>
      <c r="G181" s="234">
        <v>6.2853534399999994E-2</v>
      </c>
      <c r="H181" s="234">
        <v>1.071446E-3</v>
      </c>
      <c r="I181" s="249">
        <v>1.9324780000000001E-3</v>
      </c>
      <c r="J181" s="249"/>
      <c r="K181" s="234">
        <v>4.9145319999999897E-4</v>
      </c>
      <c r="L181" s="235">
        <v>2.8810659999999901E-2</v>
      </c>
      <c r="M181" s="233">
        <v>0.33304407959999999</v>
      </c>
      <c r="N181" s="234">
        <v>0.229868726400001</v>
      </c>
      <c r="O181" s="249">
        <v>0.32386422539999998</v>
      </c>
      <c r="P181" s="249">
        <v>3.1941400000000002E-4</v>
      </c>
      <c r="Q181" s="249">
        <v>3.2256279999999998E-4</v>
      </c>
      <c r="R181" s="234">
        <v>9.2729787999999997E-3</v>
      </c>
      <c r="S181" s="235">
        <v>2.5988808400000001E-2</v>
      </c>
    </row>
    <row r="182" spans="5:19">
      <c r="E182" s="45" t="s">
        <v>4</v>
      </c>
      <c r="F182" s="233">
        <v>0.223507491</v>
      </c>
      <c r="G182" s="234">
        <v>0.1590691112</v>
      </c>
      <c r="H182" s="234">
        <v>4.350372E-4</v>
      </c>
      <c r="I182" s="249">
        <v>2.64527068E-2</v>
      </c>
      <c r="J182" s="249">
        <v>5.1203399999999997E-4</v>
      </c>
      <c r="K182" s="249">
        <v>2.52864096E-2</v>
      </c>
      <c r="L182" s="250">
        <v>2.2697671999999999E-2</v>
      </c>
      <c r="M182" s="233">
        <v>0.54661578799999899</v>
      </c>
      <c r="N182" s="234">
        <v>0.15965563799999999</v>
      </c>
      <c r="O182" s="249">
        <v>0.93583033039999897</v>
      </c>
      <c r="P182" s="234">
        <v>1.26809852E-2</v>
      </c>
      <c r="Q182" s="249">
        <v>7.5608480000000002E-4</v>
      </c>
      <c r="R182" s="249">
        <v>1.4050600000000001E-4</v>
      </c>
      <c r="S182" s="250"/>
    </row>
    <row r="183" spans="5:19">
      <c r="E183" s="45" t="s">
        <v>5</v>
      </c>
      <c r="F183" s="233">
        <v>8.0379251200000001E-2</v>
      </c>
      <c r="G183" s="234">
        <v>9.2983115000000005E-2</v>
      </c>
      <c r="H183" s="234">
        <v>6.5722800000000004E-4</v>
      </c>
      <c r="I183" s="249">
        <v>4.4176544000000097E-3</v>
      </c>
      <c r="J183" s="249">
        <v>8.9297067999999993E-3</v>
      </c>
      <c r="K183" s="249">
        <v>8.2135068000000096E-3</v>
      </c>
      <c r="L183" s="250">
        <v>4.3328259999999997E-3</v>
      </c>
      <c r="M183" s="233">
        <v>0.31203261059999898</v>
      </c>
      <c r="N183" s="234">
        <v>7.7263312000000001E-2</v>
      </c>
      <c r="O183" s="249">
        <v>0.16164096880000001</v>
      </c>
      <c r="P183" s="234">
        <v>1.2234603599999999E-2</v>
      </c>
      <c r="Q183" s="234">
        <v>1.1562123999999999E-3</v>
      </c>
      <c r="R183" s="249">
        <v>0.10828820659999901</v>
      </c>
      <c r="S183" s="250">
        <v>0.120662194799999</v>
      </c>
    </row>
    <row r="184" spans="5:19">
      <c r="E184" s="46" t="s">
        <v>6</v>
      </c>
      <c r="F184" s="236">
        <v>1.9822607999999999E-2</v>
      </c>
      <c r="G184" s="237">
        <v>1.3537764000000001E-2</v>
      </c>
      <c r="H184" s="237">
        <v>2.2165703999999999E-3</v>
      </c>
      <c r="I184" s="251">
        <v>4.3304420000000001E-4</v>
      </c>
      <c r="J184" s="251">
        <v>2.5597080000000001E-4</v>
      </c>
      <c r="K184" s="251">
        <v>9.6411280000000005E-3</v>
      </c>
      <c r="L184" s="252">
        <v>4.87663199999998E-4</v>
      </c>
      <c r="M184" s="253">
        <v>2.6686519999999999E-4</v>
      </c>
      <c r="N184" s="237">
        <v>2.1248689599999999E-2</v>
      </c>
      <c r="O184" s="251">
        <v>1.3731208E-2</v>
      </c>
      <c r="P184" s="237">
        <v>1.6714113999999999E-2</v>
      </c>
      <c r="Q184" s="237">
        <v>8.0568920000000002E-4</v>
      </c>
      <c r="R184" s="251">
        <v>2.999856E-4</v>
      </c>
      <c r="S184" s="252"/>
    </row>
    <row r="185" spans="5:19">
      <c r="E185" s="44" t="s">
        <v>7</v>
      </c>
      <c r="F185" s="239">
        <v>0.40972744919999998</v>
      </c>
      <c r="G185" s="240">
        <v>0.2650202592</v>
      </c>
      <c r="H185" s="240">
        <v>6.2722576799999999E-2</v>
      </c>
      <c r="I185" s="240">
        <v>1.0513425E-2</v>
      </c>
      <c r="J185" s="254">
        <v>9.9168399999999897E-4</v>
      </c>
      <c r="K185" s="240">
        <v>7.5390680000000003E-3</v>
      </c>
      <c r="L185" s="241">
        <v>2.8612089199999999E-2</v>
      </c>
      <c r="M185" s="239">
        <v>6.7648032799999994E-2</v>
      </c>
      <c r="N185" s="240">
        <v>6.2465370399999998E-2</v>
      </c>
      <c r="O185" s="240">
        <v>1.2869584000000001E-3</v>
      </c>
      <c r="P185" s="240">
        <v>2.8941478000000099E-3</v>
      </c>
      <c r="Q185" s="240">
        <v>5.2830200000000003E-4</v>
      </c>
      <c r="R185" s="240">
        <v>8.6147199999999995E-4</v>
      </c>
      <c r="S185" s="241">
        <v>2.7453409200000001E-2</v>
      </c>
    </row>
    <row r="186" spans="5:19">
      <c r="E186" s="45" t="s">
        <v>8</v>
      </c>
      <c r="F186" s="242">
        <v>0.26246772000000101</v>
      </c>
      <c r="G186" s="243">
        <v>8.8967467999999994E-2</v>
      </c>
      <c r="H186" s="243">
        <v>4.4737227599999999E-2</v>
      </c>
      <c r="I186" s="255"/>
      <c r="J186" s="255"/>
      <c r="K186" s="243">
        <v>5.2153266000000299E-3</v>
      </c>
      <c r="L186" s="244">
        <v>3.5890997399999902E-2</v>
      </c>
      <c r="M186" s="242">
        <v>3.9656544000000002E-2</v>
      </c>
      <c r="N186" s="243">
        <v>1.6673638800000001E-2</v>
      </c>
      <c r="O186" s="243">
        <v>3.7089328000000001E-3</v>
      </c>
      <c r="P186" s="243">
        <v>1.5901559999999999E-3</v>
      </c>
      <c r="Q186" s="243">
        <v>5.6206400000000003E-4</v>
      </c>
      <c r="R186" s="243">
        <v>2.6103739999999999E-3</v>
      </c>
      <c r="S186" s="244">
        <v>1.3019978E-2</v>
      </c>
    </row>
    <row r="187" spans="5:19">
      <c r="E187" s="45" t="s">
        <v>9</v>
      </c>
      <c r="F187" s="242">
        <v>0.72660339920000006</v>
      </c>
      <c r="G187" s="243">
        <v>0.65684359679999904</v>
      </c>
      <c r="H187" s="255">
        <v>1.3944710704000001</v>
      </c>
      <c r="I187" s="243">
        <v>4.083789E-3</v>
      </c>
      <c r="J187" s="243">
        <v>9.4744999999999996E-4</v>
      </c>
      <c r="K187" s="243">
        <v>0.4645462716</v>
      </c>
      <c r="L187" s="244">
        <v>0.13504092279999999</v>
      </c>
      <c r="M187" s="242">
        <v>0.67165355000000004</v>
      </c>
      <c r="N187" s="243">
        <v>0.56137300719999905</v>
      </c>
      <c r="O187" s="243">
        <v>1.62253039999999E-3</v>
      </c>
      <c r="P187" s="255">
        <v>9.4447103599999999E-2</v>
      </c>
      <c r="Q187" s="255">
        <v>1.0905525999999901E-3</v>
      </c>
      <c r="R187" s="255">
        <v>2.3897871000000001E-2</v>
      </c>
      <c r="S187" s="256">
        <v>0.34163609359999902</v>
      </c>
    </row>
    <row r="188" spans="5:19">
      <c r="E188" s="45" t="s">
        <v>10</v>
      </c>
      <c r="F188" s="242">
        <v>0.18371795760000001</v>
      </c>
      <c r="G188" s="243">
        <v>0.16370926960000001</v>
      </c>
      <c r="H188" s="255">
        <v>3.2261310000000001E-2</v>
      </c>
      <c r="I188" s="255">
        <v>3.0058694000000001E-3</v>
      </c>
      <c r="J188" s="255">
        <v>5.405885E-3</v>
      </c>
      <c r="K188" s="243">
        <v>7.0805363999999898E-3</v>
      </c>
      <c r="L188" s="244">
        <v>2.42313199999999E-2</v>
      </c>
      <c r="M188" s="242">
        <v>7.0545200200000005E-2</v>
      </c>
      <c r="N188" s="243">
        <v>4.9631421000000002E-2</v>
      </c>
      <c r="O188" s="243">
        <v>7.8045600000000001E-4</v>
      </c>
      <c r="P188" s="255">
        <v>1.439112E-3</v>
      </c>
      <c r="Q188" s="255"/>
      <c r="R188" s="243">
        <v>4.7470960000000001E-4</v>
      </c>
      <c r="S188" s="244">
        <v>2.1514959600000001E-2</v>
      </c>
    </row>
    <row r="189" spans="5:19">
      <c r="E189" s="45" t="s">
        <v>11</v>
      </c>
      <c r="F189" s="242">
        <v>0.43356454</v>
      </c>
      <c r="G189" s="243">
        <v>0.21339799400000001</v>
      </c>
      <c r="H189" s="255">
        <v>2.3190441428000002</v>
      </c>
      <c r="I189" s="243">
        <v>2.45106228E-2</v>
      </c>
      <c r="J189" s="255">
        <v>5.363236E-4</v>
      </c>
      <c r="K189" s="255">
        <v>3.2207848800000001E-2</v>
      </c>
      <c r="L189" s="256"/>
      <c r="M189" s="242">
        <v>0.51919743859999901</v>
      </c>
      <c r="N189" s="243">
        <v>0.31447451259999998</v>
      </c>
      <c r="O189" s="243">
        <v>5.2119159999999896E-4</v>
      </c>
      <c r="P189" s="255">
        <v>6.6799700000000004E-3</v>
      </c>
      <c r="Q189" s="255">
        <v>2.30776E-4</v>
      </c>
      <c r="R189" s="255">
        <v>1.30313688E-2</v>
      </c>
      <c r="S189" s="256">
        <v>9.3730285999999996E-2</v>
      </c>
    </row>
    <row r="190" spans="5:19">
      <c r="E190" s="45" t="s">
        <v>12</v>
      </c>
      <c r="F190" s="242">
        <v>0.30075985799999999</v>
      </c>
      <c r="G190" s="243">
        <v>0.101724320199999</v>
      </c>
      <c r="H190" s="255">
        <v>5.5233135199999998E-2</v>
      </c>
      <c r="I190" s="243">
        <v>2.2994086E-2</v>
      </c>
      <c r="J190" s="243">
        <v>9.2320379999999999E-4</v>
      </c>
      <c r="K190" s="255">
        <v>0.125613682</v>
      </c>
      <c r="L190" s="256">
        <v>7.397266E-4</v>
      </c>
      <c r="M190" s="242">
        <v>0.10654183840000001</v>
      </c>
      <c r="N190" s="243">
        <v>0.123481464799999</v>
      </c>
      <c r="O190" s="243">
        <v>7.6343639999999898E-4</v>
      </c>
      <c r="P190" s="255">
        <v>2.6432528E-2</v>
      </c>
      <c r="Q190" s="255">
        <v>7.5679060000000001E-4</v>
      </c>
      <c r="R190" s="255">
        <v>3.0418600000000002E-4</v>
      </c>
      <c r="S190" s="256">
        <v>0.242421044</v>
      </c>
    </row>
    <row r="191" spans="5:19">
      <c r="E191" s="46" t="s">
        <v>13</v>
      </c>
      <c r="F191" s="257">
        <v>4.4258600000000002E-4</v>
      </c>
      <c r="G191" s="246">
        <v>1.4738954E-2</v>
      </c>
      <c r="H191" s="258">
        <v>0.19147860799999999</v>
      </c>
      <c r="I191" s="246">
        <v>1.7796424200000001E-2</v>
      </c>
      <c r="J191" s="246">
        <v>1.8094614E-3</v>
      </c>
      <c r="K191" s="258"/>
      <c r="L191" s="259"/>
      <c r="M191" s="245">
        <v>1.41875414E-2</v>
      </c>
      <c r="N191" s="246">
        <v>1.263656E-2</v>
      </c>
      <c r="O191" s="246">
        <v>5.9178755999999902E-3</v>
      </c>
      <c r="P191" s="258">
        <v>9.56824E-4</v>
      </c>
      <c r="Q191" s="258">
        <v>3.08664E-4</v>
      </c>
      <c r="R191" s="258">
        <v>7.5561659999999996E-4</v>
      </c>
      <c r="S191" s="259">
        <v>1.1256000000000001E-4</v>
      </c>
    </row>
    <row r="193" spans="5:19">
      <c r="E193" s="227" t="s">
        <v>38</v>
      </c>
      <c r="F193" s="228"/>
      <c r="G193" s="228"/>
      <c r="H193" s="228"/>
      <c r="I193" s="228"/>
      <c r="J193" s="228"/>
      <c r="K193" s="228"/>
      <c r="L193" s="228"/>
      <c r="M193" s="228"/>
      <c r="N193" s="228"/>
      <c r="O193" s="228"/>
      <c r="P193" s="228"/>
      <c r="Q193" s="228"/>
      <c r="R193" s="228"/>
      <c r="S193" s="229"/>
    </row>
    <row r="195" spans="5:19">
      <c r="E195" s="40" t="s">
        <v>21</v>
      </c>
      <c r="F195" s="41" t="s">
        <v>0</v>
      </c>
      <c r="G195" s="42" t="s">
        <v>1</v>
      </c>
      <c r="H195" s="42" t="s">
        <v>2</v>
      </c>
      <c r="I195" s="42" t="s">
        <v>3</v>
      </c>
      <c r="J195" s="42" t="s">
        <v>4</v>
      </c>
      <c r="K195" s="42" t="s">
        <v>5</v>
      </c>
      <c r="L195" s="43" t="s">
        <v>6</v>
      </c>
      <c r="M195" s="41" t="s">
        <v>7</v>
      </c>
      <c r="N195" s="42" t="s">
        <v>8</v>
      </c>
      <c r="O195" s="42" t="s">
        <v>9</v>
      </c>
      <c r="P195" s="42" t="s">
        <v>10</v>
      </c>
      <c r="Q195" s="42" t="s">
        <v>11</v>
      </c>
      <c r="R195" s="42" t="s">
        <v>12</v>
      </c>
      <c r="S195" s="43" t="s">
        <v>13</v>
      </c>
    </row>
    <row r="196" spans="5:19">
      <c r="E196" s="44" t="s">
        <v>0</v>
      </c>
      <c r="F196" s="206">
        <v>-0.128141540042637</v>
      </c>
      <c r="G196" s="207">
        <v>-6.5270731583316394E-2</v>
      </c>
      <c r="H196" s="207">
        <v>6.3619088789036299E-2</v>
      </c>
      <c r="I196" s="207">
        <v>-0.427564975486105</v>
      </c>
      <c r="J196" s="207">
        <v>-0.39351911453020599</v>
      </c>
      <c r="K196" s="207">
        <v>-0.13062882338454901</v>
      </c>
      <c r="L196" s="208">
        <v>-0.100049138157994</v>
      </c>
      <c r="M196" s="206">
        <v>-3.3941740873950202E-2</v>
      </c>
      <c r="N196" s="207">
        <v>-9.1457557539983095E-2</v>
      </c>
      <c r="O196" s="207">
        <v>-0.21256462791960701</v>
      </c>
      <c r="P196" s="207">
        <v>0.39625858302074701</v>
      </c>
      <c r="Q196" s="207">
        <v>0.38309069165264598</v>
      </c>
      <c r="R196" s="207">
        <v>-2.2221793218998202E-2</v>
      </c>
      <c r="S196" s="208">
        <v>-1.25515571842034E-2</v>
      </c>
    </row>
    <row r="197" spans="5:19">
      <c r="E197" s="45" t="s">
        <v>1</v>
      </c>
      <c r="F197" s="209">
        <v>-6.04516114789138E-2</v>
      </c>
      <c r="G197" s="210">
        <v>1.54584485476871E-2</v>
      </c>
      <c r="H197" s="210">
        <v>0.15974563386322299</v>
      </c>
      <c r="I197" s="210">
        <v>-0.43956737771247401</v>
      </c>
      <c r="J197" s="210">
        <v>-0.38217319482943901</v>
      </c>
      <c r="K197" s="210">
        <v>-8.5021626658833699E-2</v>
      </c>
      <c r="L197" s="211">
        <v>-7.1843184073843394E-2</v>
      </c>
      <c r="M197" s="209">
        <v>6.5124090848066502E-2</v>
      </c>
      <c r="N197" s="210">
        <v>-3.2267315420831798E-2</v>
      </c>
      <c r="O197" s="210">
        <v>-0.28640835136403098</v>
      </c>
      <c r="P197" s="210">
        <v>-0.41214826839826801</v>
      </c>
      <c r="Q197" s="210">
        <v>0.41666666666666602</v>
      </c>
      <c r="R197" s="210">
        <v>2.82841172446406E-2</v>
      </c>
      <c r="S197" s="211">
        <v>5.0082693241812097E-3</v>
      </c>
    </row>
    <row r="198" spans="5:19">
      <c r="E198" s="45" t="s">
        <v>2</v>
      </c>
      <c r="F198" s="209">
        <v>9.1670952236590997E-2</v>
      </c>
      <c r="G198" s="210">
        <v>0.15397496620890799</v>
      </c>
      <c r="H198" s="210">
        <v>0.187433955786312</v>
      </c>
      <c r="I198" s="210">
        <v>-0.38654750371429802</v>
      </c>
      <c r="J198" s="210">
        <v>-0.156830843779417</v>
      </c>
      <c r="K198" s="210">
        <v>-8.5263701788271598E-2</v>
      </c>
      <c r="L198" s="211">
        <v>-6.7575585596109898E-3</v>
      </c>
      <c r="M198" s="209">
        <v>0.12647285307087799</v>
      </c>
      <c r="N198" s="210">
        <v>8.3524015303723498E-2</v>
      </c>
      <c r="O198" s="210">
        <v>-3.1805275313817401E-3</v>
      </c>
      <c r="P198" s="210">
        <v>0.37519025881422702</v>
      </c>
      <c r="Q198" s="210">
        <v>0.29067649616693397</v>
      </c>
      <c r="R198" s="210">
        <v>7.88034259383813E-3</v>
      </c>
      <c r="S198" s="211">
        <v>8.7577698338975898E-2</v>
      </c>
    </row>
    <row r="199" spans="5:19">
      <c r="E199" s="45" t="s">
        <v>3</v>
      </c>
      <c r="F199" s="209">
        <v>-4.0679805470867801E-3</v>
      </c>
      <c r="G199" s="210">
        <v>3.06318510690783E-2</v>
      </c>
      <c r="H199" s="210">
        <v>7.9372548243638902E-2</v>
      </c>
      <c r="I199" s="210">
        <v>-0.165385143956572</v>
      </c>
      <c r="J199" s="210"/>
      <c r="K199" s="210">
        <v>-5.9651498027249401E-2</v>
      </c>
      <c r="L199" s="211">
        <v>-1.91860847555251E-2</v>
      </c>
      <c r="M199" s="209">
        <v>5.6867118736866201E-2</v>
      </c>
      <c r="N199" s="210">
        <v>1.6853494546408401E-2</v>
      </c>
      <c r="O199" s="210">
        <v>1.7743921228584099E-2</v>
      </c>
      <c r="P199" s="210">
        <v>0.27902031228647101</v>
      </c>
      <c r="Q199" s="210">
        <v>0.11363636363636299</v>
      </c>
      <c r="R199" s="210">
        <v>5.03434963189478E-2</v>
      </c>
      <c r="S199" s="211">
        <v>4.39880353770494E-2</v>
      </c>
    </row>
    <row r="200" spans="5:19">
      <c r="E200" s="45" t="s">
        <v>4</v>
      </c>
      <c r="F200" s="209">
        <v>0.33853869962734001</v>
      </c>
      <c r="G200" s="210">
        <v>0.37318854107729299</v>
      </c>
      <c r="H200" s="210">
        <v>0.39341804464562902</v>
      </c>
      <c r="I200" s="210">
        <v>-3.6620026798598201E-2</v>
      </c>
      <c r="J200" s="210">
        <v>0.132692307692307</v>
      </c>
      <c r="K200" s="210">
        <v>0.210756843800322</v>
      </c>
      <c r="L200" s="211">
        <v>0.16666666666666599</v>
      </c>
      <c r="M200" s="209">
        <v>0.26784130340983803</v>
      </c>
      <c r="N200" s="210">
        <v>0.361181328546753</v>
      </c>
      <c r="O200" s="210">
        <v>0.18604846443081699</v>
      </c>
      <c r="P200" s="210">
        <v>0.44307810233320899</v>
      </c>
      <c r="Q200" s="210">
        <v>0.45799708838827902</v>
      </c>
      <c r="R200" s="210">
        <v>8.3333333333333301E-2</v>
      </c>
      <c r="S200" s="211"/>
    </row>
    <row r="201" spans="5:19">
      <c r="E201" s="45" t="s">
        <v>5</v>
      </c>
      <c r="F201" s="209">
        <v>0.36664264415494102</v>
      </c>
      <c r="G201" s="210">
        <v>0.384373504124147</v>
      </c>
      <c r="H201" s="210">
        <v>0.37366004923554702</v>
      </c>
      <c r="I201" s="210">
        <v>-9.2996616909660407E-2</v>
      </c>
      <c r="J201" s="210">
        <v>2.5000000000000001E-2</v>
      </c>
      <c r="K201" s="210">
        <v>6.9304152637485905E-2</v>
      </c>
      <c r="L201" s="211">
        <v>-0.25</v>
      </c>
      <c r="M201" s="209">
        <v>0.29494750325987901</v>
      </c>
      <c r="N201" s="210">
        <v>0.38006714439249001</v>
      </c>
      <c r="O201" s="210">
        <v>0.18373246509229199</v>
      </c>
      <c r="P201" s="210">
        <v>0.43734365783534002</v>
      </c>
      <c r="Q201" s="210">
        <v>0.40155701966076701</v>
      </c>
      <c r="R201" s="210">
        <v>0.202618923546489</v>
      </c>
      <c r="S201" s="211">
        <v>0.22234563681932101</v>
      </c>
    </row>
    <row r="202" spans="5:19">
      <c r="E202" s="46" t="s">
        <v>6</v>
      </c>
      <c r="F202" s="212">
        <v>0.43263512718261199</v>
      </c>
      <c r="G202" s="213">
        <v>0.43699638326691997</v>
      </c>
      <c r="H202" s="213">
        <v>0.43308444110644501</v>
      </c>
      <c r="I202" s="213">
        <v>4.9250440917107501E-2</v>
      </c>
      <c r="J202" s="213">
        <v>0.16767676767676701</v>
      </c>
      <c r="K202" s="213">
        <v>8.3333333333333301E-2</v>
      </c>
      <c r="L202" s="214">
        <v>6.4999999999999905E-2</v>
      </c>
      <c r="M202" s="212">
        <v>0.17313797313797299</v>
      </c>
      <c r="N202" s="213">
        <v>0.43459253216814703</v>
      </c>
      <c r="O202" s="213">
        <v>0.37507710951039502</v>
      </c>
      <c r="P202" s="213">
        <v>0.44536374399432299</v>
      </c>
      <c r="Q202" s="213">
        <v>0.44417576600738301</v>
      </c>
      <c r="R202" s="213">
        <v>0.16556776556776501</v>
      </c>
      <c r="S202" s="214"/>
    </row>
    <row r="203" spans="5:19">
      <c r="E203" s="44" t="s">
        <v>7</v>
      </c>
      <c r="F203" s="80">
        <v>2.4054417010904602E-2</v>
      </c>
      <c r="G203" s="81">
        <v>9.2438689290881906E-2</v>
      </c>
      <c r="H203" s="81">
        <v>0.17512715941738399</v>
      </c>
      <c r="I203" s="81">
        <v>-0.40768427156590697</v>
      </c>
      <c r="J203" s="81">
        <v>-0.39292588584456201</v>
      </c>
      <c r="K203" s="81">
        <v>2.74684042927247E-2</v>
      </c>
      <c r="L203" s="82">
        <v>9.7073736345211492E-3</v>
      </c>
      <c r="M203" s="80">
        <v>0.130494461575486</v>
      </c>
      <c r="N203" s="81">
        <v>5.8369390574992998E-2</v>
      </c>
      <c r="O203" s="81">
        <v>-8.3607573983896497E-2</v>
      </c>
      <c r="P203" s="81">
        <v>0.42343475795792301</v>
      </c>
      <c r="Q203" s="81">
        <v>0.40122331658448201</v>
      </c>
      <c r="R203" s="81">
        <v>0.138425960734884</v>
      </c>
      <c r="S203" s="82">
        <v>0.101648646314821</v>
      </c>
    </row>
    <row r="204" spans="5:19">
      <c r="E204" s="45" t="s">
        <v>8</v>
      </c>
      <c r="F204" s="83">
        <v>-6.1811321730227298E-2</v>
      </c>
      <c r="G204" s="84">
        <v>4.0596222911753903E-2</v>
      </c>
      <c r="H204" s="84">
        <v>0.27219796313975803</v>
      </c>
      <c r="I204" s="84"/>
      <c r="J204" s="84"/>
      <c r="K204" s="84">
        <v>-2.4483393575354898E-2</v>
      </c>
      <c r="L204" s="85">
        <v>-6.1646816788547198E-3</v>
      </c>
      <c r="M204" s="83">
        <v>5.3695035175672798E-2</v>
      </c>
      <c r="N204" s="84">
        <v>-9.7558430936867304E-3</v>
      </c>
      <c r="O204" s="84">
        <v>-0.18447752510746299</v>
      </c>
      <c r="P204" s="84">
        <v>0.43564374079667301</v>
      </c>
      <c r="Q204" s="84">
        <v>0.37365473904901497</v>
      </c>
      <c r="R204" s="84">
        <v>8.5469942524614595E-2</v>
      </c>
      <c r="S204" s="85">
        <v>6.7825716819373605E-2</v>
      </c>
    </row>
    <row r="205" spans="5:19">
      <c r="E205" s="45" t="s">
        <v>9</v>
      </c>
      <c r="F205" s="83">
        <v>-0.143359008858503</v>
      </c>
      <c r="G205" s="84">
        <v>-0.10594880603878</v>
      </c>
      <c r="H205" s="84">
        <v>8.5528016094483503E-2</v>
      </c>
      <c r="I205" s="84">
        <v>-0.38064893821266599</v>
      </c>
      <c r="J205" s="84">
        <v>-0.272620296679142</v>
      </c>
      <c r="K205" s="84">
        <v>-2.3352007128254099E-2</v>
      </c>
      <c r="L205" s="85">
        <v>-4.2667198855046898E-2</v>
      </c>
      <c r="M205" s="83">
        <v>-0.117373030141722</v>
      </c>
      <c r="N205" s="84">
        <v>-0.162989930027826</v>
      </c>
      <c r="O205" s="84">
        <v>-0.20181816684062101</v>
      </c>
      <c r="P205" s="84">
        <v>0.35126600132727298</v>
      </c>
      <c r="Q205" s="84">
        <v>9.0451450571597605E-2</v>
      </c>
      <c r="R205" s="84">
        <v>4.3515261410049202E-2</v>
      </c>
      <c r="S205" s="85">
        <v>6.9166149193912396E-2</v>
      </c>
    </row>
    <row r="206" spans="5:19">
      <c r="E206" s="45" t="s">
        <v>10</v>
      </c>
      <c r="F206" s="83">
        <v>-5.8299946623933202E-2</v>
      </c>
      <c r="G206" s="84">
        <v>-1.8388492249590299E-2</v>
      </c>
      <c r="H206" s="84">
        <v>0.143633942831324</v>
      </c>
      <c r="I206" s="84">
        <v>-0.30554399142203797</v>
      </c>
      <c r="J206" s="84">
        <v>-0.32858972763787903</v>
      </c>
      <c r="K206" s="84">
        <v>-4.9294564216456498E-2</v>
      </c>
      <c r="L206" s="85">
        <v>-4.3421997633418197E-2</v>
      </c>
      <c r="M206" s="83">
        <v>4.9818994298988801E-3</v>
      </c>
      <c r="N206" s="84">
        <v>-3.0133817406264401E-2</v>
      </c>
      <c r="O206" s="84">
        <v>-9.1021612424146497E-2</v>
      </c>
      <c r="P206" s="84">
        <v>0.25757715312063101</v>
      </c>
      <c r="Q206" s="84"/>
      <c r="R206" s="84">
        <v>6.4545655264112198E-2</v>
      </c>
      <c r="S206" s="85">
        <v>1.9535405218025999E-2</v>
      </c>
    </row>
    <row r="207" spans="5:19">
      <c r="E207" s="45" t="s">
        <v>11</v>
      </c>
      <c r="F207" s="83">
        <v>-0.26536556376271597</v>
      </c>
      <c r="G207" s="84">
        <v>-0.34634295658818898</v>
      </c>
      <c r="H207" s="84">
        <v>-0.17838550624928301</v>
      </c>
      <c r="I207" s="84">
        <v>-0.44895252213584202</v>
      </c>
      <c r="J207" s="84">
        <v>-0.44625233041925499</v>
      </c>
      <c r="K207" s="84">
        <v>-1.94444444444444E-2</v>
      </c>
      <c r="L207" s="85"/>
      <c r="M207" s="83">
        <v>-0.34844178676129101</v>
      </c>
      <c r="N207" s="84">
        <v>-0.34740751162849498</v>
      </c>
      <c r="O207" s="84">
        <v>-0.39283451568850097</v>
      </c>
      <c r="P207" s="84">
        <v>-7.9579221626647906E-2</v>
      </c>
      <c r="Q207" s="84">
        <v>0.16666666666666599</v>
      </c>
      <c r="R207" s="84">
        <v>-0.136085882190601</v>
      </c>
      <c r="S207" s="85">
        <v>0.125</v>
      </c>
    </row>
    <row r="208" spans="5:19">
      <c r="E208" s="45" t="s">
        <v>12</v>
      </c>
      <c r="F208" s="83">
        <v>-0.28905324250646303</v>
      </c>
      <c r="G208" s="84">
        <v>-0.380298256971627</v>
      </c>
      <c r="H208" s="84">
        <v>-0.216231600910364</v>
      </c>
      <c r="I208" s="84">
        <v>-0.43688008585788102</v>
      </c>
      <c r="J208" s="84">
        <v>-0.393681656132845</v>
      </c>
      <c r="K208" s="84">
        <v>-0.103114206055382</v>
      </c>
      <c r="L208" s="85">
        <v>-0.245535714285714</v>
      </c>
      <c r="M208" s="83">
        <v>-0.36743682566938601</v>
      </c>
      <c r="N208" s="84">
        <v>-0.38084200547195302</v>
      </c>
      <c r="O208" s="84">
        <v>-0.374139193237642</v>
      </c>
      <c r="P208" s="84">
        <v>9.2365215722440497E-2</v>
      </c>
      <c r="Q208" s="84">
        <v>0.17673611111111101</v>
      </c>
      <c r="R208" s="84">
        <v>-4.0130324221233298E-2</v>
      </c>
      <c r="S208" s="85">
        <v>7.3737373737373699E-2</v>
      </c>
    </row>
    <row r="209" spans="5:19">
      <c r="E209" s="46" t="s">
        <v>13</v>
      </c>
      <c r="F209" s="86">
        <v>-0.22222222222222199</v>
      </c>
      <c r="G209" s="87">
        <v>-0.43723793086476798</v>
      </c>
      <c r="H209" s="87">
        <v>-0.33970570570570502</v>
      </c>
      <c r="I209" s="87">
        <v>-0.442057849548815</v>
      </c>
      <c r="J209" s="87">
        <v>-0.44805898330101201</v>
      </c>
      <c r="K209" s="87"/>
      <c r="L209" s="88"/>
      <c r="M209" s="86">
        <v>-0.43671793577729101</v>
      </c>
      <c r="N209" s="87">
        <v>-0.43482917773602198</v>
      </c>
      <c r="O209" s="87">
        <v>-0.43942773520262102</v>
      </c>
      <c r="P209" s="87">
        <v>-0.126890871844552</v>
      </c>
      <c r="Q209" s="87">
        <v>-0.25</v>
      </c>
      <c r="R209" s="87">
        <v>-0.20138888888888801</v>
      </c>
      <c r="S209" s="88">
        <v>-0.23148148148148101</v>
      </c>
    </row>
  </sheetData>
  <mergeCells count="6">
    <mergeCell ref="E22:S22"/>
    <mergeCell ref="E41:S41"/>
    <mergeCell ref="E59:S59"/>
    <mergeCell ref="E77:S77"/>
    <mergeCell ref="E95:S95"/>
    <mergeCell ref="E193:S193"/>
  </mergeCells>
  <conditionalFormatting sqref="C7:C20">
    <cfRule type="colorScale" priority="2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2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2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2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1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1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1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1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96:S209">
    <cfRule type="colorScale" priority="1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1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1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1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62:S75">
    <cfRule type="colorScale" priority="5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0" id="{A60A5A32-C4A6-A44F-8F8F-B35A9DA63F2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F114:S127</xm:sqref>
        </x14:conditionalFormatting>
        <x14:conditionalFormatting xmlns:xm="http://schemas.microsoft.com/office/excel/2006/main">
          <x14:cfRule type="iconSet" priority="4" id="{5563530A-7736-0440-AD30-DC34C8FBA6C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F130:S143</xm:sqref>
        </x14:conditionalFormatting>
        <x14:conditionalFormatting xmlns:xm="http://schemas.microsoft.com/office/excel/2006/main">
          <x14:cfRule type="iconSet" priority="3" id="{F1BEC5DD-0E0E-ED4E-9CD5-A699717E986E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F146:S159</xm:sqref>
        </x14:conditionalFormatting>
        <x14:conditionalFormatting xmlns:xm="http://schemas.microsoft.com/office/excel/2006/main">
          <x14:cfRule type="iconSet" priority="2" id="{F1481116-ECF7-EF46-8D2C-38E47E9800B5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F162:S175</xm:sqref>
        </x14:conditionalFormatting>
        <x14:conditionalFormatting xmlns:xm="http://schemas.microsoft.com/office/excel/2006/main">
          <x14:cfRule type="iconSet" priority="1" id="{5F27D0A9-7769-5443-9B8E-8909D321E2BF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F178:S191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BFFCF-883D-3C42-B761-0C4DF683252F}">
  <dimension ref="B2:Z209"/>
  <sheetViews>
    <sheetView showGridLines="0" workbookViewId="0">
      <selection activeCell="F62" sqref="F62:S75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43900</v>
      </c>
      <c r="E3" s="20"/>
      <c r="F3" s="21">
        <f>C7</f>
        <v>0.53518929796793402</v>
      </c>
      <c r="G3" s="22">
        <f>C8</f>
        <v>0.70256426484755097</v>
      </c>
      <c r="H3" s="22">
        <f>C9</f>
        <v>0.104772667257835</v>
      </c>
      <c r="I3" s="22">
        <f>C10</f>
        <v>7.4960988215726596E-2</v>
      </c>
      <c r="J3" s="22">
        <f>C11</f>
        <v>2.2412680624724599E-2</v>
      </c>
      <c r="K3" s="22">
        <f>C12</f>
        <v>5.1322646071090203E-2</v>
      </c>
      <c r="L3" s="23">
        <f>C13</f>
        <v>3.3017824876450899E-2</v>
      </c>
      <c r="M3" s="21">
        <f>C14</f>
        <v>0.59216568065030994</v>
      </c>
      <c r="N3" s="22">
        <f>C15</f>
        <v>0.62874022819505004</v>
      </c>
      <c r="O3" s="22">
        <f>C16</f>
        <v>9.2683657765842406E-2</v>
      </c>
      <c r="P3" s="22">
        <f>C17</f>
        <v>7.4347006034703095E-2</v>
      </c>
      <c r="Q3" s="22">
        <f>C18</f>
        <v>2.2015558423844599E-2</v>
      </c>
      <c r="R3" s="22">
        <f>C19</f>
        <v>5.1229536490832499E-2</v>
      </c>
      <c r="S3" s="23">
        <f>C20</f>
        <v>3.3387290187160398E-2</v>
      </c>
      <c r="U3" s="39" t="s">
        <v>17</v>
      </c>
      <c r="V3" s="38">
        <f>9.25*3600</f>
        <v>33300</v>
      </c>
      <c r="X3" s="77" t="s">
        <v>26</v>
      </c>
      <c r="Y3" s="76">
        <v>7834798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0.53518929796793402</v>
      </c>
      <c r="E7" s="44" t="s">
        <v>0</v>
      </c>
      <c r="F7" s="29">
        <v>0.39333808477912902</v>
      </c>
      <c r="G7" s="31">
        <v>5.7335014463377403E-2</v>
      </c>
      <c r="H7" s="31">
        <v>3.1938202468483202E-2</v>
      </c>
      <c r="I7" s="31">
        <v>8.5775416835740706E-2</v>
      </c>
      <c r="J7" s="31">
        <v>7.9671694629496002E-3</v>
      </c>
      <c r="K7" s="31">
        <v>5.4221537536206198E-2</v>
      </c>
      <c r="L7" s="33">
        <v>5.52612743728879E-2</v>
      </c>
      <c r="M7" s="29">
        <v>6.9413874835648299E-3</v>
      </c>
      <c r="N7" s="31">
        <v>3.2451297547875103E-2</v>
      </c>
      <c r="O7" s="31">
        <v>3.72762350126525E-4</v>
      </c>
      <c r="P7" s="31">
        <v>5.2964971157036501E-2</v>
      </c>
      <c r="Q7" s="31">
        <v>3.1530141109194297E-2</v>
      </c>
      <c r="R7" s="31">
        <v>6.5642164419937102E-2</v>
      </c>
      <c r="S7" s="33">
        <v>9.68346946735128E-2</v>
      </c>
      <c r="U7" s="44" t="s">
        <v>0</v>
      </c>
      <c r="V7" s="8">
        <v>1.1545751351801186</v>
      </c>
      <c r="X7" s="44" t="s">
        <v>0</v>
      </c>
      <c r="Y7" s="47">
        <v>38678</v>
      </c>
    </row>
    <row r="8" spans="2:25">
      <c r="B8" s="45" t="s">
        <v>1</v>
      </c>
      <c r="C8" s="27">
        <v>0.70256426484755097</v>
      </c>
      <c r="E8" s="45" t="s">
        <v>1</v>
      </c>
      <c r="F8" s="32">
        <v>4.1243283557498199E-2</v>
      </c>
      <c r="G8" s="30">
        <v>0.37634718143700402</v>
      </c>
      <c r="H8" s="30">
        <v>1.7018291471972799E-2</v>
      </c>
      <c r="I8" s="30">
        <v>7.0032566206097893E-2</v>
      </c>
      <c r="J8" s="30">
        <v>3.49320987376166E-3</v>
      </c>
      <c r="K8" s="30">
        <v>4.3366917344522402E-2</v>
      </c>
      <c r="L8" s="34">
        <v>7.9963648219744193E-2</v>
      </c>
      <c r="M8" s="32">
        <v>5.7575899393591701E-2</v>
      </c>
      <c r="N8" s="30">
        <v>1.9197961744020799E-2</v>
      </c>
      <c r="O8" s="30">
        <v>3.0351318753288802E-2</v>
      </c>
      <c r="P8" s="30">
        <v>-3.0116819052774101E-2</v>
      </c>
      <c r="Q8" s="30">
        <v>-2.0028311064219798E-3</v>
      </c>
      <c r="R8" s="30">
        <v>6.2972875703747599E-2</v>
      </c>
      <c r="S8" s="34">
        <v>9.5804098530645795E-2</v>
      </c>
      <c r="U8" s="45" t="s">
        <v>1</v>
      </c>
      <c r="V8" s="9">
        <v>1.4017953594141639</v>
      </c>
      <c r="X8" s="45" t="s">
        <v>1</v>
      </c>
      <c r="Y8" s="48">
        <v>47581</v>
      </c>
    </row>
    <row r="9" spans="2:25">
      <c r="B9" s="45" t="s">
        <v>2</v>
      </c>
      <c r="C9" s="27">
        <v>0.104772667257835</v>
      </c>
      <c r="E9" s="45" t="s">
        <v>2</v>
      </c>
      <c r="F9" s="32">
        <v>2.4471903605458199E-3</v>
      </c>
      <c r="G9" s="30">
        <v>6.7191827498578195E-4</v>
      </c>
      <c r="H9" s="30">
        <v>7.4962453416156594E-2</v>
      </c>
      <c r="I9" s="30">
        <v>1.4978097676933901E-3</v>
      </c>
      <c r="J9" s="30">
        <v>6.1566615586447397E-3</v>
      </c>
      <c r="K9" s="30">
        <v>-3.5595365562638199E-5</v>
      </c>
      <c r="L9" s="34">
        <v>-1.4982784980235599E-3</v>
      </c>
      <c r="M9" s="32">
        <v>8.8187037875153305E-5</v>
      </c>
      <c r="N9" s="30">
        <v>2.32829780879491E-3</v>
      </c>
      <c r="O9" s="30">
        <v>-8.6233302318118295E-4</v>
      </c>
      <c r="P9" s="30">
        <v>2.5651735819466801E-3</v>
      </c>
      <c r="Q9" s="30">
        <v>5.5294980578047999E-3</v>
      </c>
      <c r="R9" s="30">
        <v>1.21448437078637E-3</v>
      </c>
      <c r="S9" s="34">
        <v>8.7835188807947496E-4</v>
      </c>
      <c r="U9" s="45" t="s">
        <v>2</v>
      </c>
      <c r="V9" s="9">
        <v>0.12135801499416118</v>
      </c>
      <c r="X9" s="45" t="s">
        <v>2</v>
      </c>
      <c r="Y9" s="48">
        <v>4199</v>
      </c>
    </row>
    <row r="10" spans="2:25">
      <c r="B10" s="45" t="s">
        <v>3</v>
      </c>
      <c r="C10" s="27">
        <v>7.4960988215726596E-2</v>
      </c>
      <c r="E10" s="45" t="s">
        <v>3</v>
      </c>
      <c r="F10" s="32">
        <v>6.2226383180827597E-3</v>
      </c>
      <c r="G10" s="30">
        <v>4.9504951607491103E-3</v>
      </c>
      <c r="H10" s="30">
        <v>1.7078345826599701E-3</v>
      </c>
      <c r="I10" s="30">
        <v>-3.6075901851358801E-3</v>
      </c>
      <c r="J10" s="30">
        <v>3.3006925548922702E-3</v>
      </c>
      <c r="K10" s="30">
        <v>9.4326811920502102E-2</v>
      </c>
      <c r="L10" s="34">
        <v>1.5478230926690401E-2</v>
      </c>
      <c r="M10" s="32">
        <v>4.1146918057986702E-3</v>
      </c>
      <c r="N10" s="30">
        <v>4.7622244242812896E-3</v>
      </c>
      <c r="O10" s="30">
        <v>-2.5855480836690199E-4</v>
      </c>
      <c r="P10" s="30">
        <v>-7.6351775926445297E-4</v>
      </c>
      <c r="Q10" s="30">
        <v>4.0278178828526698E-4</v>
      </c>
      <c r="R10" s="30">
        <v>1.6262713816809701E-2</v>
      </c>
      <c r="S10" s="34">
        <v>4.5347171390928601E-2</v>
      </c>
      <c r="U10" s="45" t="s">
        <v>3</v>
      </c>
      <c r="V10" s="9">
        <v>0.11001246842034405</v>
      </c>
      <c r="X10" s="45" t="s">
        <v>3</v>
      </c>
      <c r="Y10" s="48">
        <v>3692</v>
      </c>
    </row>
    <row r="11" spans="2:25">
      <c r="B11" s="45" t="s">
        <v>4</v>
      </c>
      <c r="C11" s="27">
        <v>2.2412680624724599E-2</v>
      </c>
      <c r="E11" s="45" t="s">
        <v>4</v>
      </c>
      <c r="F11" s="32">
        <v>-9.5147050198429806E-5</v>
      </c>
      <c r="G11" s="30">
        <v>1.9759123468192699E-4</v>
      </c>
      <c r="H11" s="30">
        <v>3.1122852090647202E-3</v>
      </c>
      <c r="I11" s="30">
        <v>1.25135736058503E-3</v>
      </c>
      <c r="J11" s="30">
        <v>-5.9324822708124803E-3</v>
      </c>
      <c r="K11" s="30">
        <v>3.1178409624240599E-3</v>
      </c>
      <c r="L11" s="34">
        <v>-7.5523759042768804E-4</v>
      </c>
      <c r="M11" s="32">
        <v>1.7123687731292799E-4</v>
      </c>
      <c r="N11" s="30">
        <v>2.5468109670667E-4</v>
      </c>
      <c r="O11" s="30">
        <v>-5.9918335869714998E-4</v>
      </c>
      <c r="P11" s="30">
        <v>4.3857797995441102E-4</v>
      </c>
      <c r="Q11" s="30">
        <v>1.7250074928351301E-3</v>
      </c>
      <c r="R11" s="30">
        <v>5.5038115476256004E-4</v>
      </c>
      <c r="S11" s="34">
        <v>3.6784800534303498E-4</v>
      </c>
      <c r="U11" s="45" t="s">
        <v>4</v>
      </c>
      <c r="V11" s="9">
        <v>2.3729921727735134E-2</v>
      </c>
      <c r="X11" s="45" t="s">
        <v>4</v>
      </c>
      <c r="Y11" s="48">
        <v>803</v>
      </c>
    </row>
    <row r="12" spans="2:25">
      <c r="B12" s="45" t="s">
        <v>5</v>
      </c>
      <c r="C12" s="27">
        <v>5.1322646071090203E-2</v>
      </c>
      <c r="E12" s="45" t="s">
        <v>5</v>
      </c>
      <c r="F12" s="32">
        <v>2.2835460302872601E-3</v>
      </c>
      <c r="G12" s="30">
        <v>5.2265817796300702E-4</v>
      </c>
      <c r="H12" s="30">
        <v>2.1378141978207602E-2</v>
      </c>
      <c r="I12" s="30">
        <v>-1.96109371734838E-3</v>
      </c>
      <c r="J12" s="30">
        <v>-1.00963044765619E-3</v>
      </c>
      <c r="K12" s="30">
        <v>-6.52284809838662E-4</v>
      </c>
      <c r="L12" s="34">
        <v>-2.7341248495544798E-3</v>
      </c>
      <c r="M12" s="32">
        <v>1.7778444072567601E-4</v>
      </c>
      <c r="N12" s="30">
        <v>2.5443357434615098E-3</v>
      </c>
      <c r="O12" s="30">
        <v>-1.0751169224511E-4</v>
      </c>
      <c r="P12" s="30">
        <v>1.0152654207394401E-2</v>
      </c>
      <c r="Q12" s="30">
        <v>8.3493711327698797E-3</v>
      </c>
      <c r="R12" s="30">
        <v>-1.0472415122905899E-3</v>
      </c>
      <c r="S12" s="34">
        <v>-6.6693234913382804E-4</v>
      </c>
      <c r="U12" s="45" t="s">
        <v>5</v>
      </c>
      <c r="V12" s="9">
        <v>6.1510966572736248E-2</v>
      </c>
      <c r="X12" s="45" t="s">
        <v>5</v>
      </c>
      <c r="Y12" s="48">
        <v>2031</v>
      </c>
    </row>
    <row r="13" spans="2:25">
      <c r="B13" s="46" t="s">
        <v>6</v>
      </c>
      <c r="C13" s="28">
        <v>3.3017824876450899E-2</v>
      </c>
      <c r="E13" s="46" t="s">
        <v>6</v>
      </c>
      <c r="F13" s="37">
        <v>3.6684213933323101E-3</v>
      </c>
      <c r="G13" s="36">
        <v>1.7434283524032899E-3</v>
      </c>
      <c r="H13" s="36">
        <v>2.5334860631527501E-3</v>
      </c>
      <c r="I13" s="36">
        <v>-2.31259904188605E-4</v>
      </c>
      <c r="J13" s="36">
        <v>-1.8399282758147901E-3</v>
      </c>
      <c r="K13" s="36">
        <v>-7.3799606772789197E-4</v>
      </c>
      <c r="L13" s="35">
        <v>-3.7638981638834202E-3</v>
      </c>
      <c r="M13" s="37">
        <v>-6.5616434783010802E-4</v>
      </c>
      <c r="N13" s="36">
        <v>3.08463214715052E-3</v>
      </c>
      <c r="O13" s="36">
        <v>-1.12493483439554E-3</v>
      </c>
      <c r="P13" s="36">
        <v>5.60558175961067E-2</v>
      </c>
      <c r="Q13" s="36">
        <v>8.9657628964895496E-3</v>
      </c>
      <c r="R13" s="36">
        <v>4.3054136961228901E-4</v>
      </c>
      <c r="S13" s="35">
        <v>6.3636681013586104E-4</v>
      </c>
      <c r="U13" s="46" t="s">
        <v>6</v>
      </c>
      <c r="V13" s="10">
        <v>4.9037702058958486E-2</v>
      </c>
      <c r="X13" s="46" t="s">
        <v>6</v>
      </c>
      <c r="Y13" s="49">
        <v>1677</v>
      </c>
    </row>
    <row r="14" spans="2:25">
      <c r="B14" s="44" t="s">
        <v>7</v>
      </c>
      <c r="C14" s="8">
        <v>0.59216568065030994</v>
      </c>
      <c r="E14" s="44" t="s">
        <v>7</v>
      </c>
      <c r="F14" s="11">
        <v>1.35688431217747E-2</v>
      </c>
      <c r="G14" s="12">
        <v>3.4575642010581199E-2</v>
      </c>
      <c r="H14" s="12">
        <v>1.1625969525522199E-3</v>
      </c>
      <c r="I14" s="12">
        <v>7.9251438227665297E-2</v>
      </c>
      <c r="J14" s="12">
        <v>2.5117668914954601E-2</v>
      </c>
      <c r="K14" s="12">
        <v>8.1599348631065202E-2</v>
      </c>
      <c r="L14" s="13">
        <v>0.127761143591787</v>
      </c>
      <c r="M14" s="11">
        <v>0.413192260430645</v>
      </c>
      <c r="N14" s="12">
        <v>5.2822098015012697E-2</v>
      </c>
      <c r="O14" s="12">
        <v>3.8072845669722299E-2</v>
      </c>
      <c r="P14" s="12">
        <v>7.0582725192768203E-2</v>
      </c>
      <c r="Q14" s="12">
        <v>1.9378310882524698E-2</v>
      </c>
      <c r="R14" s="12">
        <v>6.0522712339790001E-2</v>
      </c>
      <c r="S14" s="13">
        <v>7.3938152952921096E-2</v>
      </c>
      <c r="U14" s="44" t="s">
        <v>7</v>
      </c>
      <c r="V14" s="8">
        <v>1.3006822643156493</v>
      </c>
      <c r="X14" s="44" t="s">
        <v>7</v>
      </c>
      <c r="Y14" s="47">
        <v>42878</v>
      </c>
    </row>
    <row r="15" spans="2:25">
      <c r="B15" s="45" t="s">
        <v>8</v>
      </c>
      <c r="C15" s="9">
        <v>0.62874022819505004</v>
      </c>
      <c r="E15" s="45" t="s">
        <v>8</v>
      </c>
      <c r="F15" s="14">
        <v>5.5635054663094097E-2</v>
      </c>
      <c r="G15" s="15">
        <v>1.45272127107367E-2</v>
      </c>
      <c r="H15" s="15">
        <v>2.6291449661879799E-2</v>
      </c>
      <c r="I15" s="15">
        <v>-3.5524753203823603E-2</v>
      </c>
      <c r="J15" s="15">
        <v>-3.96929986071124E-3</v>
      </c>
      <c r="K15" s="15">
        <v>5.2769505136874499E-2</v>
      </c>
      <c r="L15" s="16">
        <v>6.1220459023021701E-2</v>
      </c>
      <c r="M15" s="14">
        <v>4.7776080707363902E-2</v>
      </c>
      <c r="N15" s="15">
        <v>0.36697475223225601</v>
      </c>
      <c r="O15" s="15">
        <v>8.5339458163966996E-3</v>
      </c>
      <c r="P15" s="15">
        <v>7.1103108360798903E-2</v>
      </c>
      <c r="Q15" s="15">
        <v>1.6702642200636299E-2</v>
      </c>
      <c r="R15" s="15">
        <v>4.1031060816339997E-2</v>
      </c>
      <c r="S15" s="16">
        <v>7.9504899077649002E-2</v>
      </c>
      <c r="U15" s="45" t="s">
        <v>8</v>
      </c>
      <c r="V15" s="9">
        <v>1.2582539332841332</v>
      </c>
      <c r="X15" s="45" t="s">
        <v>8</v>
      </c>
      <c r="Y15" s="48">
        <v>42240</v>
      </c>
    </row>
    <row r="16" spans="2:25">
      <c r="B16" s="45" t="s">
        <v>9</v>
      </c>
      <c r="C16" s="9">
        <v>9.2683657765842406E-2</v>
      </c>
      <c r="E16" s="45" t="s">
        <v>9</v>
      </c>
      <c r="F16" s="14">
        <v>4.2824322408129901E-4</v>
      </c>
      <c r="G16" s="15">
        <v>2.3081217243233199E-3</v>
      </c>
      <c r="H16" s="15">
        <v>6.8291351766502104E-4</v>
      </c>
      <c r="I16" s="15">
        <v>1.3504545393826701E-3</v>
      </c>
      <c r="J16" s="15">
        <v>2.7953213566203798E-3</v>
      </c>
      <c r="K16" s="15">
        <v>1.12952027321433E-3</v>
      </c>
      <c r="L16" s="16">
        <v>-1.49288730011319E-3</v>
      </c>
      <c r="M16" s="14">
        <v>2.1717834754169801E-3</v>
      </c>
      <c r="N16" s="15">
        <v>7.1597887373547897E-4</v>
      </c>
      <c r="O16" s="15">
        <v>6.8505805444524101E-2</v>
      </c>
      <c r="P16" s="15">
        <v>-6.1617667759344302E-4</v>
      </c>
      <c r="Q16" s="15">
        <v>1.06249174366454E-2</v>
      </c>
      <c r="R16" s="15">
        <v>4.3415718582100003E-3</v>
      </c>
      <c r="S16" s="16">
        <v>-2.69330622343106E-3</v>
      </c>
      <c r="U16" s="45" t="s">
        <v>9</v>
      </c>
      <c r="V16" s="9">
        <v>0.10817500228292913</v>
      </c>
      <c r="X16" s="45" t="s">
        <v>9</v>
      </c>
      <c r="Y16" s="48">
        <v>3593</v>
      </c>
    </row>
    <row r="17" spans="2:25">
      <c r="B17" s="45" t="s">
        <v>10</v>
      </c>
      <c r="C17" s="9">
        <v>7.4347006034703095E-2</v>
      </c>
      <c r="E17" s="45" t="s">
        <v>10</v>
      </c>
      <c r="F17" s="14">
        <v>5.2763906954544498E-3</v>
      </c>
      <c r="G17" s="15">
        <v>3.6308283292819602E-3</v>
      </c>
      <c r="H17" s="15">
        <v>-3.9376790106783601E-4</v>
      </c>
      <c r="I17" s="15">
        <v>-2.18389786410342E-4</v>
      </c>
      <c r="J17" s="15">
        <v>1.7870627967296201E-3</v>
      </c>
      <c r="K17" s="15">
        <v>1.0145107295558699E-2</v>
      </c>
      <c r="L17" s="16">
        <v>3.4601601979008599E-2</v>
      </c>
      <c r="M17" s="14">
        <v>5.6739593864322804E-3</v>
      </c>
      <c r="N17" s="15">
        <v>4.8573308692465003E-3</v>
      </c>
      <c r="O17" s="15">
        <v>7.9599376850471998E-3</v>
      </c>
      <c r="P17" s="15">
        <v>-6.85569246833508E-3</v>
      </c>
      <c r="Q17" s="15">
        <v>-1.85377325126083E-3</v>
      </c>
      <c r="R17" s="15">
        <v>0.11994143703609</v>
      </c>
      <c r="S17" s="16">
        <v>1.6599085609855201E-2</v>
      </c>
      <c r="U17" s="45" t="s">
        <v>10</v>
      </c>
      <c r="V17" s="9">
        <v>0.10972977861672661</v>
      </c>
      <c r="X17" s="45" t="s">
        <v>10</v>
      </c>
      <c r="Y17" s="48">
        <v>3748</v>
      </c>
    </row>
    <row r="18" spans="2:25">
      <c r="B18" s="45" t="s">
        <v>11</v>
      </c>
      <c r="C18" s="9">
        <v>2.2015558423844599E-2</v>
      </c>
      <c r="E18" s="45" t="s">
        <v>11</v>
      </c>
      <c r="F18" s="14">
        <v>1.1311847741901101E-4</v>
      </c>
      <c r="G18" s="15">
        <v>3.5260817651005399E-4</v>
      </c>
      <c r="H18" s="15">
        <v>2.0670601367960901E-4</v>
      </c>
      <c r="I18" s="15">
        <v>4.1787836017759799E-3</v>
      </c>
      <c r="J18" s="15">
        <v>4.3663951882746601E-3</v>
      </c>
      <c r="K18" s="15">
        <v>1.92850154646537E-4</v>
      </c>
      <c r="L18" s="16">
        <v>-1.30660910837738E-3</v>
      </c>
      <c r="M18" s="14">
        <v>3.5673120954519602E-4</v>
      </c>
      <c r="N18" s="15">
        <v>2.74063476377948E-4</v>
      </c>
      <c r="O18" s="15">
        <v>2.0479158502291901E-4</v>
      </c>
      <c r="P18" s="15">
        <v>1.2924735981037301E-3</v>
      </c>
      <c r="Q18" s="15">
        <v>-5.1469385806720397E-4</v>
      </c>
      <c r="R18" s="15">
        <v>-2.0207781220306801E-4</v>
      </c>
      <c r="S18" s="16">
        <v>1.3155710503089499E-3</v>
      </c>
      <c r="U18" s="45" t="s">
        <v>11</v>
      </c>
      <c r="V18" s="9">
        <v>2.4188497548199381E-2</v>
      </c>
      <c r="X18" s="45" t="s">
        <v>11</v>
      </c>
      <c r="Y18" s="48">
        <v>773</v>
      </c>
    </row>
    <row r="19" spans="2:25">
      <c r="B19" s="45" t="s">
        <v>12</v>
      </c>
      <c r="C19" s="9">
        <v>5.1229536490832499E-2</v>
      </c>
      <c r="E19" s="45" t="s">
        <v>12</v>
      </c>
      <c r="F19" s="14">
        <v>-8.3029086270789402E-5</v>
      </c>
      <c r="G19" s="15">
        <v>2.4329996221480899E-3</v>
      </c>
      <c r="H19" s="15">
        <v>1.5086518017022701E-3</v>
      </c>
      <c r="I19" s="15">
        <v>8.1474314522958103E-3</v>
      </c>
      <c r="J19" s="15">
        <v>1.0770596860246499E-2</v>
      </c>
      <c r="K19" s="15">
        <v>-1.5767392840354601E-4</v>
      </c>
      <c r="L19" s="16">
        <v>5.7046956937316503E-4</v>
      </c>
      <c r="M19" s="14">
        <v>2.1136916570541702E-3</v>
      </c>
      <c r="N19" s="15">
        <v>2.64925242268868E-4</v>
      </c>
      <c r="O19" s="15">
        <v>3.5690077588397998E-2</v>
      </c>
      <c r="P19" s="15">
        <v>7.2654834095284998E-4</v>
      </c>
      <c r="Q19" s="15">
        <v>-2.5234115831993401E-3</v>
      </c>
      <c r="R19" s="15">
        <v>8.71458269321181E-4</v>
      </c>
      <c r="S19" s="16">
        <v>-3.4328866561506699E-4</v>
      </c>
      <c r="U19" s="45" t="s">
        <v>12</v>
      </c>
      <c r="V19" s="9">
        <v>6.2897615441351709E-2</v>
      </c>
      <c r="X19" s="45" t="s">
        <v>12</v>
      </c>
      <c r="Y19" s="48">
        <v>2056</v>
      </c>
    </row>
    <row r="20" spans="2:25">
      <c r="B20" s="46" t="s">
        <v>13</v>
      </c>
      <c r="C20" s="10">
        <v>3.3387290187160398E-2</v>
      </c>
      <c r="E20" s="46" t="s">
        <v>13</v>
      </c>
      <c r="F20" s="17">
        <v>-4.8920141254981699E-4</v>
      </c>
      <c r="G20" s="18">
        <v>2.3817776077362401E-3</v>
      </c>
      <c r="H20" s="18">
        <v>5.0702294071367404E-4</v>
      </c>
      <c r="I20" s="18">
        <v>5.8433089635560098E-2</v>
      </c>
      <c r="J20" s="18">
        <v>3.0191106587354201E-3</v>
      </c>
      <c r="K20" s="18">
        <v>-7.96807645734532E-4</v>
      </c>
      <c r="L20" s="19">
        <v>-1.5040310900077301E-3</v>
      </c>
      <c r="M20" s="17">
        <v>2.84353610725065E-3</v>
      </c>
      <c r="N20" s="18">
        <v>2.0112317258197399E-3</v>
      </c>
      <c r="O20" s="18">
        <v>3.6901139167655902E-3</v>
      </c>
      <c r="P20" s="18">
        <v>-5.3094750092724005E-4</v>
      </c>
      <c r="Q20" s="18">
        <v>-2.1551030119677699E-3</v>
      </c>
      <c r="R20" s="18">
        <v>-2.2540350058386301E-3</v>
      </c>
      <c r="S20" s="19">
        <v>-3.7351946564871102E-3</v>
      </c>
      <c r="U20" s="46" t="s">
        <v>13</v>
      </c>
      <c r="V20" s="10">
        <v>4.8793949059702343E-2</v>
      </c>
      <c r="X20" s="46" t="s">
        <v>13</v>
      </c>
      <c r="Y20" s="49">
        <v>1657</v>
      </c>
    </row>
    <row r="22" spans="2:25">
      <c r="E22" s="227" t="s">
        <v>40</v>
      </c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9"/>
      <c r="V22" s="54">
        <f>Y22/V3</f>
        <v>5.8740540540540538</v>
      </c>
      <c r="X22" s="53" t="s">
        <v>20</v>
      </c>
      <c r="Y22" s="51">
        <f>SUM(Y7:Y20)</f>
        <v>195606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9.3012623676080902E-2</v>
      </c>
      <c r="E25" s="1" t="s">
        <v>0</v>
      </c>
      <c r="F25" s="11">
        <v>0.63542333223758496</v>
      </c>
      <c r="G25" s="12">
        <v>7.4202956071021398E-2</v>
      </c>
      <c r="H25" s="12">
        <v>0.30442684328592401</v>
      </c>
      <c r="I25" s="12">
        <v>0.36798457391940698</v>
      </c>
      <c r="J25" s="12">
        <v>0.21389752631446601</v>
      </c>
      <c r="K25" s="12">
        <v>0.42033448356569197</v>
      </c>
      <c r="L25" s="13">
        <v>0.173184033003251</v>
      </c>
      <c r="M25" s="11">
        <v>2.1690428282764101E-3</v>
      </c>
      <c r="N25" s="12">
        <v>3.5604459302614397E-2</v>
      </c>
      <c r="O25" s="12">
        <v>0.150514064744531</v>
      </c>
      <c r="P25" s="12">
        <v>8.2956618674325106E-2</v>
      </c>
      <c r="Q25" s="12">
        <v>5.3776874496326503E-2</v>
      </c>
      <c r="R25" s="12">
        <v>0.14411654311291999</v>
      </c>
      <c r="S25" s="13">
        <v>0.11662985074307899</v>
      </c>
    </row>
    <row r="26" spans="2:25">
      <c r="B26" s="2" t="s">
        <v>1</v>
      </c>
      <c r="C26" s="9">
        <v>6.0542914242030503E-2</v>
      </c>
      <c r="E26" s="2" t="s">
        <v>1</v>
      </c>
      <c r="F26" s="14">
        <v>8.9230719005575596E-2</v>
      </c>
      <c r="G26" s="15">
        <v>0.61650558689414503</v>
      </c>
      <c r="H26" s="15">
        <v>0.13080370459023399</v>
      </c>
      <c r="I26" s="15">
        <v>0.36943433929318198</v>
      </c>
      <c r="J26" s="15">
        <v>1.7736118456985099</v>
      </c>
      <c r="K26" s="15">
        <v>0.388501310527959</v>
      </c>
      <c r="L26" s="16">
        <v>0.36999424576822099</v>
      </c>
      <c r="M26" s="14">
        <v>0.15038569514150499</v>
      </c>
      <c r="N26" s="15">
        <v>8.1881216571179404E-4</v>
      </c>
      <c r="O26" s="15">
        <v>6.1572577671600001E-2</v>
      </c>
      <c r="P26" s="15">
        <v>7.6740196453891699E-3</v>
      </c>
      <c r="Q26" s="15">
        <v>2.32129610157469E-8</v>
      </c>
      <c r="R26" s="15">
        <v>4.3444483361352003E-2</v>
      </c>
      <c r="S26" s="16">
        <v>5.3285623544847401E-2</v>
      </c>
    </row>
    <row r="27" spans="2:25">
      <c r="B27" s="2" t="s">
        <v>2</v>
      </c>
      <c r="C27" s="9">
        <v>3.2972156586063901E-2</v>
      </c>
      <c r="E27" s="2" t="s">
        <v>2</v>
      </c>
      <c r="F27" s="14">
        <v>5.1418478460116502E-3</v>
      </c>
      <c r="G27" s="15">
        <v>1.4582785854327001E-3</v>
      </c>
      <c r="H27" s="15">
        <v>0.37606219821034997</v>
      </c>
      <c r="I27" s="15">
        <v>4.6896238875223798E-3</v>
      </c>
      <c r="J27" s="15">
        <v>4.08908139807619E-2</v>
      </c>
      <c r="K27" s="15">
        <v>2.95737835590652E-2</v>
      </c>
      <c r="L27" s="16">
        <v>3.4621468587361999E-3</v>
      </c>
      <c r="M27" s="14">
        <v>8.4985863201649697E-4</v>
      </c>
      <c r="N27" s="15">
        <v>3.8814174434889199E-3</v>
      </c>
      <c r="O27" s="15">
        <v>2.7039530100801599E-2</v>
      </c>
      <c r="P27" s="15">
        <v>1.7970801043898699E-2</v>
      </c>
      <c r="Q27" s="15">
        <v>0.39712279486378299</v>
      </c>
      <c r="R27" s="15">
        <v>8.5046201779194804E-3</v>
      </c>
      <c r="S27" s="16">
        <v>4.2496176237725297E-4</v>
      </c>
    </row>
    <row r="28" spans="2:25">
      <c r="B28" s="2" t="s">
        <v>3</v>
      </c>
      <c r="C28" s="9">
        <v>0</v>
      </c>
      <c r="E28" s="2" t="s">
        <v>3</v>
      </c>
      <c r="F28" s="14">
        <v>1.56533049644033E-2</v>
      </c>
      <c r="G28" s="15">
        <v>6.0937322714270303E-3</v>
      </c>
      <c r="H28" s="15">
        <v>5.0712921018914899E-2</v>
      </c>
      <c r="I28" s="15">
        <v>5.48011943279759E-15</v>
      </c>
      <c r="J28" s="15">
        <v>9.0578916180052303E-25</v>
      </c>
      <c r="K28" s="15">
        <v>0.38751502941399402</v>
      </c>
      <c r="L28" s="16">
        <v>6.1897748018898101E-2</v>
      </c>
      <c r="M28" s="14">
        <v>1.4754015879481601E-3</v>
      </c>
      <c r="N28" s="15">
        <v>4.4438588901911098E-4</v>
      </c>
      <c r="O28" s="15">
        <v>1.91740848887535E-4</v>
      </c>
      <c r="P28" s="15">
        <v>8.1849063329694796E-5</v>
      </c>
      <c r="Q28" s="15">
        <v>1.1821260846249201E-4</v>
      </c>
      <c r="R28" s="15">
        <v>0.350752201245705</v>
      </c>
      <c r="S28" s="16">
        <v>0.53761421355824501</v>
      </c>
    </row>
    <row r="29" spans="2:25">
      <c r="B29" s="2" t="s">
        <v>4</v>
      </c>
      <c r="C29" s="9">
        <v>0</v>
      </c>
      <c r="E29" s="2" t="s">
        <v>4</v>
      </c>
      <c r="F29" s="14">
        <v>2.9403862443621699E-3</v>
      </c>
      <c r="G29" s="15">
        <v>1.55341559994053E-3</v>
      </c>
      <c r="H29" s="15">
        <v>3.6851785625357597E-2</v>
      </c>
      <c r="I29" s="15">
        <v>1.98235120707424E-3</v>
      </c>
      <c r="J29" s="15">
        <v>2.5487579739181799E-2</v>
      </c>
      <c r="K29" s="15">
        <v>1.17057392407842E-3</v>
      </c>
      <c r="L29" s="16">
        <v>6.7983402684474195E-7</v>
      </c>
      <c r="M29" s="14">
        <v>2.8280069438156299E-3</v>
      </c>
      <c r="N29" s="15">
        <v>2.1051459254550998E-3</v>
      </c>
      <c r="O29" s="15">
        <v>1.247049644735E-2</v>
      </c>
      <c r="P29" s="15">
        <v>3.03181088098783E-2</v>
      </c>
      <c r="Q29" s="15">
        <v>3.2342959570012299E-2</v>
      </c>
      <c r="R29" s="15">
        <v>6.4181239568624803E-3</v>
      </c>
      <c r="S29" s="16">
        <v>7.8174705728247397E-4</v>
      </c>
    </row>
    <row r="30" spans="2:25">
      <c r="B30" s="2" t="s">
        <v>5</v>
      </c>
      <c r="C30" s="9">
        <v>0</v>
      </c>
      <c r="E30" s="2" t="s">
        <v>5</v>
      </c>
      <c r="F30" s="14">
        <v>1.02601042751346E-2</v>
      </c>
      <c r="G30" s="15">
        <v>2.8611992045363098E-3</v>
      </c>
      <c r="H30" s="15">
        <v>0.113687950556132</v>
      </c>
      <c r="I30" s="15">
        <v>2.7471974563581299E-2</v>
      </c>
      <c r="J30" s="15">
        <v>8.9234143492994307E-3</v>
      </c>
      <c r="K30" s="15">
        <v>1.9581054931155201E-3</v>
      </c>
      <c r="L30" s="16">
        <v>2.8852805552146002E-16</v>
      </c>
      <c r="M30" s="14">
        <v>1.02568113623438E-3</v>
      </c>
      <c r="N30" s="15">
        <v>1.4023815203163101E-3</v>
      </c>
      <c r="O30" s="15">
        <v>6.2312318689419699E-3</v>
      </c>
      <c r="P30" s="15">
        <v>0.177212260969868</v>
      </c>
      <c r="Q30" s="15">
        <v>0.31270028141774803</v>
      </c>
      <c r="R30" s="15">
        <v>1.7748942415381799E-4</v>
      </c>
      <c r="S30" s="16">
        <v>4.65416275008186E-4</v>
      </c>
    </row>
    <row r="31" spans="2:25">
      <c r="B31" s="3" t="s">
        <v>6</v>
      </c>
      <c r="C31" s="10">
        <v>0</v>
      </c>
      <c r="E31" s="3" t="s">
        <v>6</v>
      </c>
      <c r="F31" s="17">
        <v>6.0088650570535697E-3</v>
      </c>
      <c r="G31" s="18">
        <v>3.6338521117513598E-3</v>
      </c>
      <c r="H31" s="18">
        <v>2.8264726630657201E-2</v>
      </c>
      <c r="I31" s="18">
        <v>8.2233748521931798E-4</v>
      </c>
      <c r="J31" s="18">
        <v>1.04808253060165E-3</v>
      </c>
      <c r="K31" s="18">
        <v>1.13860652730718E-4</v>
      </c>
      <c r="L31" s="19">
        <v>3.4813781925803699E-3</v>
      </c>
      <c r="M31" s="17">
        <v>1.0442547167245601E-5</v>
      </c>
      <c r="N31" s="18">
        <v>3.9591768003668698E-4</v>
      </c>
      <c r="O31" s="18">
        <v>6.7227433478349297E-4</v>
      </c>
      <c r="P31" s="18">
        <v>0.281770546463323</v>
      </c>
      <c r="Q31" s="18">
        <v>4.1782398837187998E-2</v>
      </c>
      <c r="R31" s="18">
        <v>6.6119489748626793E-5</v>
      </c>
      <c r="S31" s="19">
        <v>1.2396412831661E-4</v>
      </c>
    </row>
    <row r="32" spans="2:25">
      <c r="B32" s="1" t="s">
        <v>7</v>
      </c>
      <c r="C32" s="8">
        <v>9.5126800871421099E-2</v>
      </c>
      <c r="E32" s="1" t="s">
        <v>7</v>
      </c>
      <c r="F32" s="11">
        <v>2.2105085322456598E-3</v>
      </c>
      <c r="G32" s="12">
        <v>3.8498269352215703E-2</v>
      </c>
      <c r="H32" s="12">
        <v>0.148428096939971</v>
      </c>
      <c r="I32" s="12">
        <v>8.4912570009538002E-2</v>
      </c>
      <c r="J32" s="12">
        <v>3.9514783378672702E-2</v>
      </c>
      <c r="K32" s="12">
        <v>0.136643898780063</v>
      </c>
      <c r="L32" s="13">
        <v>0.120180000919044</v>
      </c>
      <c r="M32" s="11">
        <v>0.65806491048195104</v>
      </c>
      <c r="N32" s="12">
        <v>7.9517891241321997E-2</v>
      </c>
      <c r="O32" s="12">
        <v>0.31628214822228701</v>
      </c>
      <c r="P32" s="12">
        <v>0.35591580605775602</v>
      </c>
      <c r="Q32" s="12">
        <v>0.24409979474744301</v>
      </c>
      <c r="R32" s="12">
        <v>0.45045431151536802</v>
      </c>
      <c r="S32" s="13">
        <v>0.186013561921757</v>
      </c>
    </row>
    <row r="33" spans="2:26">
      <c r="B33" s="2" t="s">
        <v>8</v>
      </c>
      <c r="C33" s="9">
        <v>5.82206055234087E-2</v>
      </c>
      <c r="E33" s="2" t="s">
        <v>8</v>
      </c>
      <c r="F33" s="14">
        <v>0.141139775425663</v>
      </c>
      <c r="G33" s="15">
        <v>9.1094794054436001E-4</v>
      </c>
      <c r="H33" s="15">
        <v>5.2513181256030703E-2</v>
      </c>
      <c r="I33" s="15">
        <v>8.1271411922248602E-3</v>
      </c>
      <c r="J33" s="15">
        <v>7.1130579519545405E-11</v>
      </c>
      <c r="K33" s="15">
        <v>4.4255506900302E-2</v>
      </c>
      <c r="L33" s="16">
        <v>4.6236256418184803E-2</v>
      </c>
      <c r="M33" s="14">
        <v>8.3287863028452799E-2</v>
      </c>
      <c r="N33" s="15">
        <v>0.61151096231939905</v>
      </c>
      <c r="O33" s="15">
        <v>0.12646944283579001</v>
      </c>
      <c r="P33" s="15">
        <v>0.33351322144946599</v>
      </c>
      <c r="Q33" s="15">
        <v>1.74815412397333</v>
      </c>
      <c r="R33" s="15">
        <v>0.38539122289382099</v>
      </c>
      <c r="S33" s="16">
        <v>0.34907390617842399</v>
      </c>
    </row>
    <row r="34" spans="2:26">
      <c r="B34" s="2" t="s">
        <v>9</v>
      </c>
      <c r="C34" s="9">
        <v>3.0697387630630301E-2</v>
      </c>
      <c r="E34" s="2" t="s">
        <v>9</v>
      </c>
      <c r="F34" s="14">
        <v>7.7560628335939603E-4</v>
      </c>
      <c r="G34" s="15">
        <v>4.4630452853871997E-3</v>
      </c>
      <c r="H34" s="15">
        <v>2.4140460519625598E-2</v>
      </c>
      <c r="I34" s="15">
        <v>1.60096811399453E-2</v>
      </c>
      <c r="J34" s="15">
        <v>0.39499792295603497</v>
      </c>
      <c r="K34" s="15">
        <v>4.9466299342883603E-3</v>
      </c>
      <c r="L34" s="16">
        <v>1.3582278660787101E-3</v>
      </c>
      <c r="M34" s="14">
        <v>5.04772818132388E-3</v>
      </c>
      <c r="N34" s="15">
        <v>1.60850104219744E-3</v>
      </c>
      <c r="O34" s="15">
        <v>0.38182372558079902</v>
      </c>
      <c r="P34" s="15">
        <v>4.1095745196469101E-3</v>
      </c>
      <c r="Q34" s="15">
        <v>3.4211309917064003E-2</v>
      </c>
      <c r="R34" s="15">
        <v>3.5769859399603803E-2</v>
      </c>
      <c r="S34" s="16">
        <v>3.0794608588509101E-3</v>
      </c>
    </row>
    <row r="35" spans="2:26">
      <c r="B35" s="2" t="s">
        <v>10</v>
      </c>
      <c r="C35" s="9">
        <v>0</v>
      </c>
      <c r="E35" s="2" t="s">
        <v>10</v>
      </c>
      <c r="F35" s="14">
        <v>1.84011015202333E-3</v>
      </c>
      <c r="G35" s="15">
        <v>4.1727795602479603E-4</v>
      </c>
      <c r="H35" s="15">
        <v>3.0104511395013899E-4</v>
      </c>
      <c r="I35" s="15">
        <v>6.7906223675399498E-6</v>
      </c>
      <c r="J35" s="15">
        <v>7.5068184988049899E-7</v>
      </c>
      <c r="K35" s="15">
        <v>0.35037717849408201</v>
      </c>
      <c r="L35" s="16">
        <v>0.55224558220145803</v>
      </c>
      <c r="M35" s="14">
        <v>1.38174156765627E-2</v>
      </c>
      <c r="N35" s="15">
        <v>7.3786223016321598E-3</v>
      </c>
      <c r="O35" s="15">
        <v>4.8743605893939897E-2</v>
      </c>
      <c r="P35" s="15">
        <v>1.1394896839512401E-4</v>
      </c>
      <c r="Q35" s="15">
        <v>1.33316064668517E-24</v>
      </c>
      <c r="R35" s="15">
        <v>0.40011734786285802</v>
      </c>
      <c r="S35" s="16">
        <v>6.2507781099067197E-2</v>
      </c>
    </row>
    <row r="36" spans="2:26">
      <c r="B36" s="2" t="s">
        <v>11</v>
      </c>
      <c r="C36" s="9">
        <v>0</v>
      </c>
      <c r="E36" s="2" t="s">
        <v>11</v>
      </c>
      <c r="F36" s="14">
        <v>3.04456064154304E-3</v>
      </c>
      <c r="G36" s="15">
        <v>1.8232238727128201E-3</v>
      </c>
      <c r="H36" s="15">
        <v>1.2900175401594299E-2</v>
      </c>
      <c r="I36" s="15">
        <v>3.0823577990383801E-2</v>
      </c>
      <c r="J36" s="15">
        <v>3.3615598288396498E-2</v>
      </c>
      <c r="K36" s="15">
        <v>3.8761127349210998E-3</v>
      </c>
      <c r="L36" s="16">
        <v>1.4143964432390399E-3</v>
      </c>
      <c r="M36" s="14">
        <v>2.78566502062246E-3</v>
      </c>
      <c r="N36" s="15">
        <v>1.89520539068656E-3</v>
      </c>
      <c r="O36" s="15">
        <v>3.4912096421011597E-2</v>
      </c>
      <c r="P36" s="15">
        <v>2.54953402102E-3</v>
      </c>
      <c r="Q36" s="15">
        <v>2.7435610834954698E-2</v>
      </c>
      <c r="R36" s="15">
        <v>9.95933754708539E-4</v>
      </c>
      <c r="S36" s="16">
        <v>1.97404640587719E-4</v>
      </c>
    </row>
    <row r="37" spans="2:26">
      <c r="B37" s="2" t="s">
        <v>12</v>
      </c>
      <c r="C37" s="9">
        <v>0</v>
      </c>
      <c r="E37" s="2" t="s">
        <v>12</v>
      </c>
      <c r="F37" s="14">
        <v>1.29923860031023E-3</v>
      </c>
      <c r="G37" s="15">
        <v>1.43760441082397E-3</v>
      </c>
      <c r="H37" s="15">
        <v>5.5535382487360199E-3</v>
      </c>
      <c r="I37" s="15">
        <v>0.175721798026308</v>
      </c>
      <c r="J37" s="15">
        <v>0.30893349844993201</v>
      </c>
      <c r="K37" s="15">
        <v>4.5334911104964103E-4</v>
      </c>
      <c r="L37" s="16">
        <v>2.5512546437385202E-4</v>
      </c>
      <c r="M37" s="14">
        <v>8.8853525256193198E-3</v>
      </c>
      <c r="N37" s="15">
        <v>3.0829624910288398E-3</v>
      </c>
      <c r="O37" s="15">
        <v>0.116184053885766</v>
      </c>
      <c r="P37" s="15">
        <v>2.9444038534390999E-2</v>
      </c>
      <c r="Q37" s="15">
        <v>8.8603316919929499E-3</v>
      </c>
      <c r="R37" s="15">
        <v>3.0587833356993601E-3</v>
      </c>
      <c r="S37" s="16">
        <v>8.6845996727331895E-6</v>
      </c>
    </row>
    <row r="38" spans="2:26">
      <c r="B38" s="3" t="s">
        <v>13</v>
      </c>
      <c r="C38" s="10">
        <v>0</v>
      </c>
      <c r="E38" s="3" t="s">
        <v>13</v>
      </c>
      <c r="F38" s="17">
        <v>3.8851294717226099E-5</v>
      </c>
      <c r="G38" s="18">
        <v>3.3774217981684997E-4</v>
      </c>
      <c r="H38" s="18">
        <v>5.7877975455291101E-4</v>
      </c>
      <c r="I38" s="18">
        <v>0.27698252185564598</v>
      </c>
      <c r="J38" s="18">
        <v>3.7033443461341797E-2</v>
      </c>
      <c r="K38" s="18">
        <v>1.68109593556366E-4</v>
      </c>
      <c r="L38" s="19">
        <v>2.60797504786109E-9</v>
      </c>
      <c r="M38" s="17">
        <v>5.7280770249319504E-3</v>
      </c>
      <c r="N38" s="18">
        <v>3.9133759871972304E-3</v>
      </c>
      <c r="O38" s="18">
        <v>2.58904709977744E-2</v>
      </c>
      <c r="P38" s="18">
        <v>6.2784661643452597E-4</v>
      </c>
      <c r="Q38" s="18">
        <v>1.8291085122382599E-3</v>
      </c>
      <c r="R38" s="18">
        <v>1.78708355887285E-4</v>
      </c>
      <c r="S38" s="19">
        <v>3.41146113832486E-3</v>
      </c>
    </row>
    <row r="41" spans="2:26">
      <c r="E41" s="227" t="s">
        <v>33</v>
      </c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9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16990</v>
      </c>
      <c r="G44" s="56">
        <v>7325</v>
      </c>
      <c r="H44" s="56">
        <v>722</v>
      </c>
      <c r="I44" s="56">
        <v>749</v>
      </c>
      <c r="J44" s="56">
        <v>146</v>
      </c>
      <c r="K44" s="56">
        <v>369</v>
      </c>
      <c r="L44" s="57">
        <v>309</v>
      </c>
      <c r="M44" s="55">
        <v>4318</v>
      </c>
      <c r="N44" s="56">
        <v>5753</v>
      </c>
      <c r="O44" s="56">
        <v>505</v>
      </c>
      <c r="P44" s="56">
        <v>673</v>
      </c>
      <c r="Q44" s="56">
        <v>146</v>
      </c>
      <c r="R44" s="56">
        <v>358</v>
      </c>
      <c r="S44" s="57">
        <v>315</v>
      </c>
      <c r="Y44" s="52" t="s">
        <v>37</v>
      </c>
      <c r="Z44" s="50">
        <f>Y22</f>
        <v>195606</v>
      </c>
    </row>
    <row r="45" spans="2:26">
      <c r="E45" s="45" t="s">
        <v>1</v>
      </c>
      <c r="F45" s="58">
        <v>6622</v>
      </c>
      <c r="G45" s="59">
        <v>21906</v>
      </c>
      <c r="H45" s="59">
        <v>868</v>
      </c>
      <c r="I45" s="59">
        <v>855</v>
      </c>
      <c r="J45" s="59">
        <v>173</v>
      </c>
      <c r="K45" s="59">
        <v>415</v>
      </c>
      <c r="L45" s="60">
        <v>359</v>
      </c>
      <c r="M45" s="58">
        <v>7607</v>
      </c>
      <c r="N45" s="59">
        <v>6261</v>
      </c>
      <c r="O45" s="59">
        <v>833</v>
      </c>
      <c r="P45" s="59">
        <v>678</v>
      </c>
      <c r="Q45" s="59">
        <v>149</v>
      </c>
      <c r="R45" s="59">
        <v>451</v>
      </c>
      <c r="S45" s="60">
        <v>403</v>
      </c>
      <c r="Y45" s="52" t="s">
        <v>24</v>
      </c>
      <c r="Z45" s="50">
        <f>SUM(Y9,Y11:Y12,Y16,Y18:Y19)</f>
        <v>13455</v>
      </c>
    </row>
    <row r="46" spans="2:26">
      <c r="E46" s="45" t="s">
        <v>2</v>
      </c>
      <c r="F46" s="58">
        <v>743</v>
      </c>
      <c r="G46" s="59">
        <v>866</v>
      </c>
      <c r="H46" s="59">
        <v>425</v>
      </c>
      <c r="I46" s="59">
        <v>110</v>
      </c>
      <c r="J46" s="59">
        <v>44</v>
      </c>
      <c r="K46" s="59">
        <v>52</v>
      </c>
      <c r="L46" s="60">
        <v>40</v>
      </c>
      <c r="M46" s="58">
        <v>748</v>
      </c>
      <c r="N46" s="59">
        <v>867</v>
      </c>
      <c r="O46" s="59">
        <v>102</v>
      </c>
      <c r="P46" s="59">
        <v>90</v>
      </c>
      <c r="Q46" s="59">
        <v>26</v>
      </c>
      <c r="R46" s="59">
        <v>59</v>
      </c>
      <c r="S46" s="60">
        <v>27</v>
      </c>
      <c r="Y46" s="52" t="s">
        <v>30</v>
      </c>
      <c r="Z46" s="50">
        <v>8616</v>
      </c>
    </row>
    <row r="47" spans="2:26">
      <c r="E47" s="45" t="s">
        <v>3</v>
      </c>
      <c r="F47" s="58">
        <v>676</v>
      </c>
      <c r="G47" s="59">
        <v>853</v>
      </c>
      <c r="H47" s="59">
        <v>85</v>
      </c>
      <c r="I47" s="59">
        <v>71</v>
      </c>
      <c r="J47" s="59">
        <v>17</v>
      </c>
      <c r="K47" s="59">
        <v>178</v>
      </c>
      <c r="L47" s="60">
        <v>50</v>
      </c>
      <c r="M47" s="58">
        <v>698</v>
      </c>
      <c r="N47" s="59">
        <v>776</v>
      </c>
      <c r="O47" s="59">
        <v>66</v>
      </c>
      <c r="P47" s="59">
        <v>79</v>
      </c>
      <c r="Q47" s="59">
        <v>19</v>
      </c>
      <c r="R47" s="59">
        <v>55</v>
      </c>
      <c r="S47" s="60">
        <v>69</v>
      </c>
      <c r="Y47" s="52" t="s">
        <v>28</v>
      </c>
      <c r="Z47" s="50">
        <v>17808</v>
      </c>
    </row>
    <row r="48" spans="2:26">
      <c r="E48" s="45" t="s">
        <v>4</v>
      </c>
      <c r="F48" s="58">
        <v>118</v>
      </c>
      <c r="G48" s="59">
        <v>170</v>
      </c>
      <c r="H48" s="59">
        <v>39</v>
      </c>
      <c r="I48" s="59">
        <v>21</v>
      </c>
      <c r="J48" s="59">
        <v>8</v>
      </c>
      <c r="K48" s="59">
        <v>15</v>
      </c>
      <c r="L48" s="60">
        <v>9</v>
      </c>
      <c r="M48" s="58">
        <v>171</v>
      </c>
      <c r="N48" s="59">
        <v>168</v>
      </c>
      <c r="O48" s="59">
        <v>29</v>
      </c>
      <c r="P48" s="59">
        <v>27</v>
      </c>
      <c r="Q48" s="59">
        <v>6</v>
      </c>
      <c r="R48" s="59">
        <v>13</v>
      </c>
      <c r="S48" s="60">
        <v>9</v>
      </c>
      <c r="Y48" s="52" t="s">
        <v>31</v>
      </c>
      <c r="Z48" s="78">
        <f>Z47/Z46</f>
        <v>2.0668523676880222</v>
      </c>
    </row>
    <row r="49" spans="5:26">
      <c r="E49" s="45" t="s">
        <v>5</v>
      </c>
      <c r="F49" s="58">
        <v>400</v>
      </c>
      <c r="G49" s="59">
        <v>409</v>
      </c>
      <c r="H49" s="59">
        <v>133</v>
      </c>
      <c r="I49" s="59">
        <v>47</v>
      </c>
      <c r="J49" s="59">
        <v>18</v>
      </c>
      <c r="K49" s="59">
        <v>27</v>
      </c>
      <c r="L49" s="60">
        <v>11</v>
      </c>
      <c r="M49" s="58">
        <v>343</v>
      </c>
      <c r="N49" s="59">
        <v>451</v>
      </c>
      <c r="O49" s="59">
        <v>55</v>
      </c>
      <c r="P49" s="59">
        <v>75</v>
      </c>
      <c r="Q49" s="59">
        <v>25</v>
      </c>
      <c r="R49" s="59">
        <v>23</v>
      </c>
      <c r="S49" s="60">
        <v>14</v>
      </c>
      <c r="Y49" s="52" t="s">
        <v>29</v>
      </c>
      <c r="Z49" s="79">
        <v>9.5171773444753943E-3</v>
      </c>
    </row>
    <row r="50" spans="5:26">
      <c r="E50" s="46" t="s">
        <v>6</v>
      </c>
      <c r="F50" s="61">
        <v>334</v>
      </c>
      <c r="G50" s="62">
        <v>343</v>
      </c>
      <c r="H50" s="62">
        <v>30</v>
      </c>
      <c r="I50" s="62">
        <v>29</v>
      </c>
      <c r="J50" s="62">
        <v>6</v>
      </c>
      <c r="K50" s="62">
        <v>21</v>
      </c>
      <c r="L50" s="63">
        <v>21</v>
      </c>
      <c r="M50" s="61">
        <v>234</v>
      </c>
      <c r="N50" s="62">
        <v>368</v>
      </c>
      <c r="O50" s="62">
        <v>22</v>
      </c>
      <c r="P50" s="62">
        <v>226</v>
      </c>
      <c r="Q50" s="62">
        <v>12</v>
      </c>
      <c r="R50" s="62">
        <v>11</v>
      </c>
      <c r="S50" s="63">
        <v>20</v>
      </c>
      <c r="Y50" s="52" t="s">
        <v>32</v>
      </c>
      <c r="Z50" s="50">
        <f>Z46*Z49</f>
        <v>82</v>
      </c>
    </row>
    <row r="51" spans="5:26">
      <c r="E51" s="44" t="s">
        <v>7</v>
      </c>
      <c r="F51" s="64">
        <v>4526</v>
      </c>
      <c r="G51" s="65">
        <v>6928</v>
      </c>
      <c r="H51" s="65">
        <v>689</v>
      </c>
      <c r="I51" s="65">
        <v>834</v>
      </c>
      <c r="J51" s="65">
        <v>167</v>
      </c>
      <c r="K51" s="65">
        <v>425</v>
      </c>
      <c r="L51" s="66">
        <v>357</v>
      </c>
      <c r="M51" s="64">
        <v>19805</v>
      </c>
      <c r="N51" s="65">
        <v>6775</v>
      </c>
      <c r="O51" s="65">
        <v>673</v>
      </c>
      <c r="P51" s="65">
        <v>812</v>
      </c>
      <c r="Q51" s="65">
        <v>162</v>
      </c>
      <c r="R51" s="65">
        <v>379</v>
      </c>
      <c r="S51" s="66">
        <v>346</v>
      </c>
      <c r="Y51" s="52" t="s">
        <v>27</v>
      </c>
      <c r="Z51" s="74">
        <v>0.28512848551120828</v>
      </c>
    </row>
    <row r="52" spans="5:26">
      <c r="E52" s="45" t="s">
        <v>8</v>
      </c>
      <c r="F52" s="67">
        <v>6364</v>
      </c>
      <c r="G52" s="68">
        <v>6077</v>
      </c>
      <c r="H52" s="68">
        <v>883</v>
      </c>
      <c r="I52" s="68">
        <v>536</v>
      </c>
      <c r="J52" s="68">
        <v>151</v>
      </c>
      <c r="K52" s="68">
        <v>383</v>
      </c>
      <c r="L52" s="69">
        <v>372</v>
      </c>
      <c r="M52" s="67">
        <v>6592</v>
      </c>
      <c r="N52" s="68">
        <v>18527</v>
      </c>
      <c r="O52" s="68">
        <v>680</v>
      </c>
      <c r="P52" s="68">
        <v>841</v>
      </c>
      <c r="Q52" s="68">
        <v>156</v>
      </c>
      <c r="R52" s="68">
        <v>352</v>
      </c>
      <c r="S52" s="69">
        <v>326</v>
      </c>
      <c r="Y52" s="52" t="s">
        <v>22</v>
      </c>
      <c r="Z52" s="74">
        <v>2.6979777135782088</v>
      </c>
    </row>
    <row r="53" spans="5:26">
      <c r="E53" s="45" t="s">
        <v>9</v>
      </c>
      <c r="F53" s="67">
        <v>585</v>
      </c>
      <c r="G53" s="68">
        <v>862</v>
      </c>
      <c r="H53" s="68">
        <v>108</v>
      </c>
      <c r="I53" s="68">
        <v>68</v>
      </c>
      <c r="J53" s="68">
        <v>24</v>
      </c>
      <c r="K53" s="68">
        <v>41</v>
      </c>
      <c r="L53" s="69">
        <v>39</v>
      </c>
      <c r="M53" s="67">
        <v>700</v>
      </c>
      <c r="N53" s="68">
        <v>686</v>
      </c>
      <c r="O53" s="68">
        <v>299</v>
      </c>
      <c r="P53" s="68">
        <v>61</v>
      </c>
      <c r="Q53" s="68">
        <v>33</v>
      </c>
      <c r="R53" s="68">
        <v>51</v>
      </c>
      <c r="S53" s="69">
        <v>36</v>
      </c>
      <c r="Y53" s="52" t="s">
        <v>23</v>
      </c>
      <c r="Z53" s="73">
        <v>2531</v>
      </c>
    </row>
    <row r="54" spans="5:26">
      <c r="E54" s="45" t="s">
        <v>10</v>
      </c>
      <c r="F54" s="67">
        <v>638</v>
      </c>
      <c r="G54" s="68">
        <v>774</v>
      </c>
      <c r="H54" s="68">
        <v>90</v>
      </c>
      <c r="I54" s="68">
        <v>67</v>
      </c>
      <c r="J54" s="68">
        <v>15</v>
      </c>
      <c r="K54" s="68">
        <v>53</v>
      </c>
      <c r="L54" s="69">
        <v>67</v>
      </c>
      <c r="M54" s="67">
        <v>754</v>
      </c>
      <c r="N54" s="68">
        <v>771</v>
      </c>
      <c r="O54" s="68">
        <v>97</v>
      </c>
      <c r="P54" s="68">
        <v>94</v>
      </c>
      <c r="Q54" s="68">
        <v>21</v>
      </c>
      <c r="R54" s="68">
        <v>256</v>
      </c>
      <c r="S54" s="69">
        <v>51</v>
      </c>
      <c r="Y54" s="52" t="s">
        <v>25</v>
      </c>
      <c r="Z54" s="75">
        <f>Z53/(Y10+Y17)</f>
        <v>0.34018817204301077</v>
      </c>
    </row>
    <row r="55" spans="5:26">
      <c r="E55" s="45" t="s">
        <v>11</v>
      </c>
      <c r="F55" s="67">
        <v>138</v>
      </c>
      <c r="G55" s="68">
        <v>184</v>
      </c>
      <c r="H55" s="68">
        <v>23</v>
      </c>
      <c r="I55" s="68">
        <v>33</v>
      </c>
      <c r="J55" s="68">
        <v>5</v>
      </c>
      <c r="K55" s="68">
        <v>8</v>
      </c>
      <c r="L55" s="69">
        <v>6</v>
      </c>
      <c r="M55" s="67">
        <v>162</v>
      </c>
      <c r="N55" s="68">
        <v>151</v>
      </c>
      <c r="O55" s="68">
        <v>25</v>
      </c>
      <c r="P55" s="68">
        <v>20</v>
      </c>
      <c r="Q55" s="68">
        <v>4</v>
      </c>
      <c r="R55" s="68">
        <v>4</v>
      </c>
      <c r="S55" s="69">
        <v>10</v>
      </c>
    </row>
    <row r="56" spans="5:26">
      <c r="E56" s="45" t="s">
        <v>12</v>
      </c>
      <c r="F56" s="67">
        <v>309</v>
      </c>
      <c r="G56" s="68">
        <v>505</v>
      </c>
      <c r="H56" s="68">
        <v>67</v>
      </c>
      <c r="I56" s="68">
        <v>59</v>
      </c>
      <c r="J56" s="68">
        <v>19</v>
      </c>
      <c r="K56" s="68">
        <v>23</v>
      </c>
      <c r="L56" s="69">
        <v>22</v>
      </c>
      <c r="M56" s="67">
        <v>412</v>
      </c>
      <c r="N56" s="68">
        <v>388</v>
      </c>
      <c r="O56" s="68">
        <v>159</v>
      </c>
      <c r="P56" s="68">
        <v>38</v>
      </c>
      <c r="Q56" s="68">
        <v>9</v>
      </c>
      <c r="R56" s="68">
        <v>31</v>
      </c>
      <c r="S56" s="69">
        <v>15</v>
      </c>
    </row>
    <row r="57" spans="5:26">
      <c r="E57" s="46" t="s">
        <v>13</v>
      </c>
      <c r="F57" s="70">
        <v>234</v>
      </c>
      <c r="G57" s="71">
        <v>379</v>
      </c>
      <c r="H57" s="71">
        <v>37</v>
      </c>
      <c r="I57" s="71">
        <v>213</v>
      </c>
      <c r="J57" s="71">
        <v>10</v>
      </c>
      <c r="K57" s="71">
        <v>21</v>
      </c>
      <c r="L57" s="72">
        <v>15</v>
      </c>
      <c r="M57" s="70">
        <v>334</v>
      </c>
      <c r="N57" s="71">
        <v>298</v>
      </c>
      <c r="O57" s="71">
        <v>48</v>
      </c>
      <c r="P57" s="71">
        <v>34</v>
      </c>
      <c r="Q57" s="71">
        <v>5</v>
      </c>
      <c r="R57" s="71">
        <v>13</v>
      </c>
      <c r="S57" s="72">
        <v>16</v>
      </c>
    </row>
    <row r="59" spans="5:26">
      <c r="E59" s="227" t="s">
        <v>34</v>
      </c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9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55">
        <v>19508</v>
      </c>
      <c r="G62" s="56">
        <v>6858</v>
      </c>
      <c r="H62" s="56">
        <v>1126</v>
      </c>
      <c r="I62" s="56">
        <v>824</v>
      </c>
      <c r="J62" s="56">
        <v>44</v>
      </c>
      <c r="K62" s="56">
        <v>433</v>
      </c>
      <c r="L62" s="57">
        <v>277</v>
      </c>
      <c r="M62" s="55">
        <v>2490</v>
      </c>
      <c r="N62" s="56">
        <v>5315</v>
      </c>
      <c r="O62" s="56">
        <v>259</v>
      </c>
      <c r="P62" s="56">
        <v>690</v>
      </c>
      <c r="Q62" s="56">
        <v>40</v>
      </c>
      <c r="R62" s="56">
        <v>239</v>
      </c>
      <c r="S62" s="57">
        <v>275</v>
      </c>
      <c r="U62" s="44" t="s">
        <v>0</v>
      </c>
      <c r="V62" s="8">
        <f>Y62/V$3</f>
        <v>1.1524924924924924</v>
      </c>
      <c r="X62" s="44" t="s">
        <v>0</v>
      </c>
      <c r="Y62" s="47">
        <f>SUM(F62:S62)</f>
        <v>38378</v>
      </c>
    </row>
    <row r="63" spans="5:26">
      <c r="E63" s="204" t="s">
        <v>1</v>
      </c>
      <c r="F63" s="58">
        <v>6228</v>
      </c>
      <c r="G63" s="59">
        <v>26439</v>
      </c>
      <c r="H63" s="59">
        <v>674</v>
      </c>
      <c r="I63" s="59">
        <v>1110</v>
      </c>
      <c r="J63" s="59">
        <v>384</v>
      </c>
      <c r="K63" s="59">
        <v>448</v>
      </c>
      <c r="L63" s="60">
        <v>393</v>
      </c>
      <c r="M63" s="58">
        <v>7199</v>
      </c>
      <c r="N63" s="59">
        <v>2795</v>
      </c>
      <c r="O63" s="59">
        <v>387</v>
      </c>
      <c r="P63" s="59"/>
      <c r="Q63" s="59"/>
      <c r="R63" s="59">
        <v>266</v>
      </c>
      <c r="S63" s="60">
        <v>291</v>
      </c>
      <c r="U63" s="45" t="s">
        <v>1</v>
      </c>
      <c r="V63" s="9">
        <f t="shared" ref="V63:V75" si="0">Y63/V$3</f>
        <v>1.3998198198198197</v>
      </c>
      <c r="X63" s="45" t="s">
        <v>1</v>
      </c>
      <c r="Y63" s="48">
        <f t="shared" ref="Y63:Y75" si="1">SUM(F63:S63)</f>
        <v>46614</v>
      </c>
    </row>
    <row r="64" spans="5:26">
      <c r="E64" s="204" t="s">
        <v>2</v>
      </c>
      <c r="F64" s="58">
        <v>877</v>
      </c>
      <c r="G64" s="59">
        <v>614</v>
      </c>
      <c r="H64" s="59">
        <v>735</v>
      </c>
      <c r="I64" s="59">
        <v>42</v>
      </c>
      <c r="J64" s="59">
        <v>9</v>
      </c>
      <c r="K64" s="59">
        <v>15</v>
      </c>
      <c r="L64" s="60">
        <v>8</v>
      </c>
      <c r="M64" s="58">
        <v>676</v>
      </c>
      <c r="N64" s="59">
        <v>752</v>
      </c>
      <c r="O64" s="59">
        <v>104</v>
      </c>
      <c r="P64" s="59">
        <v>18</v>
      </c>
      <c r="Q64" s="59">
        <v>113</v>
      </c>
      <c r="R64" s="59">
        <v>10</v>
      </c>
      <c r="S64" s="60">
        <v>14</v>
      </c>
      <c r="U64" s="45" t="s">
        <v>2</v>
      </c>
      <c r="V64" s="9">
        <f t="shared" si="0"/>
        <v>0.11972972972972973</v>
      </c>
      <c r="X64" s="45" t="s">
        <v>2</v>
      </c>
      <c r="Y64" s="48">
        <f t="shared" si="1"/>
        <v>3987</v>
      </c>
    </row>
    <row r="65" spans="5:25">
      <c r="E65" s="204" t="s">
        <v>3</v>
      </c>
      <c r="F65" s="58">
        <v>736</v>
      </c>
      <c r="G65" s="59">
        <v>741</v>
      </c>
      <c r="H65" s="59">
        <v>172</v>
      </c>
      <c r="I65" s="59">
        <v>1</v>
      </c>
      <c r="J65" s="59"/>
      <c r="K65" s="59">
        <v>311</v>
      </c>
      <c r="L65" s="60">
        <v>53</v>
      </c>
      <c r="M65" s="58">
        <v>499</v>
      </c>
      <c r="N65" s="59">
        <v>603</v>
      </c>
      <c r="O65" s="59">
        <v>3</v>
      </c>
      <c r="P65" s="59">
        <v>14</v>
      </c>
      <c r="Q65" s="59"/>
      <c r="R65" s="59">
        <v>219</v>
      </c>
      <c r="S65" s="60">
        <v>236</v>
      </c>
      <c r="U65" s="45" t="s">
        <v>3</v>
      </c>
      <c r="V65" s="9">
        <f t="shared" si="0"/>
        <v>0.10774774774774774</v>
      </c>
      <c r="X65" s="45" t="s">
        <v>3</v>
      </c>
      <c r="Y65" s="48">
        <f t="shared" si="1"/>
        <v>3588</v>
      </c>
    </row>
    <row r="66" spans="5:25">
      <c r="E66" s="204" t="s">
        <v>4</v>
      </c>
      <c r="F66" s="58">
        <v>163</v>
      </c>
      <c r="G66" s="59">
        <v>148</v>
      </c>
      <c r="H66" s="59">
        <v>57</v>
      </c>
      <c r="I66" s="59">
        <v>9</v>
      </c>
      <c r="J66" s="59"/>
      <c r="K66" s="59"/>
      <c r="L66" s="60"/>
      <c r="M66" s="58">
        <v>143</v>
      </c>
      <c r="N66" s="59">
        <v>164</v>
      </c>
      <c r="O66" s="59">
        <v>9</v>
      </c>
      <c r="P66" s="59">
        <v>42</v>
      </c>
      <c r="Q66" s="59">
        <v>1</v>
      </c>
      <c r="R66" s="59">
        <v>1</v>
      </c>
      <c r="S66" s="60"/>
      <c r="U66" s="45" t="s">
        <v>4</v>
      </c>
      <c r="V66" s="9">
        <f t="shared" si="0"/>
        <v>2.213213213213213E-2</v>
      </c>
      <c r="X66" s="45" t="s">
        <v>4</v>
      </c>
      <c r="Y66" s="48">
        <f t="shared" si="1"/>
        <v>737</v>
      </c>
    </row>
    <row r="67" spans="5:25">
      <c r="E67" s="204" t="s">
        <v>5</v>
      </c>
      <c r="F67" s="58">
        <v>501</v>
      </c>
      <c r="G67" s="59">
        <v>204</v>
      </c>
      <c r="H67" s="59">
        <v>269</v>
      </c>
      <c r="I67" s="59">
        <v>8</v>
      </c>
      <c r="J67" s="59"/>
      <c r="K67" s="59">
        <v>1</v>
      </c>
      <c r="L67" s="60"/>
      <c r="M67" s="58">
        <v>107</v>
      </c>
      <c r="N67" s="59">
        <v>442</v>
      </c>
      <c r="O67" s="59">
        <v>13</v>
      </c>
      <c r="P67" s="59">
        <v>302</v>
      </c>
      <c r="Q67" s="59">
        <v>125</v>
      </c>
      <c r="R67" s="59"/>
      <c r="S67" s="60"/>
      <c r="U67" s="45" t="s">
        <v>5</v>
      </c>
      <c r="V67" s="9">
        <f t="shared" si="0"/>
        <v>5.9219219219219223E-2</v>
      </c>
      <c r="X67" s="45" t="s">
        <v>5</v>
      </c>
      <c r="Y67" s="48">
        <f t="shared" si="1"/>
        <v>1972</v>
      </c>
    </row>
    <row r="68" spans="5:25">
      <c r="E68" s="205" t="s">
        <v>6</v>
      </c>
      <c r="F68" s="61">
        <v>380</v>
      </c>
      <c r="G68" s="62">
        <v>223</v>
      </c>
      <c r="H68" s="62">
        <v>88</v>
      </c>
      <c r="I68" s="62"/>
      <c r="J68" s="62">
        <v>1</v>
      </c>
      <c r="K68" s="62"/>
      <c r="L68" s="63">
        <v>1</v>
      </c>
      <c r="M68" s="61"/>
      <c r="N68" s="62">
        <v>297</v>
      </c>
      <c r="O68" s="62">
        <v>9</v>
      </c>
      <c r="P68" s="62">
        <v>562</v>
      </c>
      <c r="Q68" s="62">
        <v>17</v>
      </c>
      <c r="R68" s="62">
        <v>1</v>
      </c>
      <c r="S68" s="63">
        <v>1</v>
      </c>
      <c r="U68" s="46" t="s">
        <v>6</v>
      </c>
      <c r="V68" s="10">
        <f t="shared" si="0"/>
        <v>4.7447447447447451E-2</v>
      </c>
      <c r="X68" s="46" t="s">
        <v>6</v>
      </c>
      <c r="Y68" s="49">
        <f t="shared" si="1"/>
        <v>1580</v>
      </c>
    </row>
    <row r="69" spans="5:25">
      <c r="E69" s="204" t="s">
        <v>7</v>
      </c>
      <c r="F69" s="64">
        <v>2710</v>
      </c>
      <c r="G69" s="65">
        <v>6303</v>
      </c>
      <c r="H69" s="65">
        <v>347</v>
      </c>
      <c r="I69" s="65">
        <v>668</v>
      </c>
      <c r="J69" s="65">
        <v>52</v>
      </c>
      <c r="K69" s="65">
        <v>270</v>
      </c>
      <c r="L69" s="66">
        <v>387</v>
      </c>
      <c r="M69" s="64">
        <v>22878</v>
      </c>
      <c r="N69" s="65">
        <v>6853</v>
      </c>
      <c r="O69" s="65">
        <v>1020</v>
      </c>
      <c r="P69" s="65">
        <v>875</v>
      </c>
      <c r="Q69" s="65">
        <v>59</v>
      </c>
      <c r="R69" s="65">
        <v>443</v>
      </c>
      <c r="S69" s="66">
        <v>312</v>
      </c>
      <c r="U69" s="44" t="s">
        <v>7</v>
      </c>
      <c r="V69" s="8">
        <f t="shared" si="0"/>
        <v>1.2966066066066066</v>
      </c>
      <c r="X69" s="44" t="s">
        <v>7</v>
      </c>
      <c r="Y69" s="47">
        <f t="shared" si="1"/>
        <v>43177</v>
      </c>
    </row>
    <row r="70" spans="5:25">
      <c r="E70" s="204" t="s">
        <v>8</v>
      </c>
      <c r="F70" s="67">
        <v>6079</v>
      </c>
      <c r="G70" s="68">
        <v>2687</v>
      </c>
      <c r="H70" s="68">
        <v>402</v>
      </c>
      <c r="I70" s="68"/>
      <c r="J70" s="68"/>
      <c r="K70" s="68">
        <v>243</v>
      </c>
      <c r="L70" s="69">
        <v>236</v>
      </c>
      <c r="M70" s="67">
        <v>6541</v>
      </c>
      <c r="N70" s="68">
        <v>22913</v>
      </c>
      <c r="O70" s="68">
        <v>540</v>
      </c>
      <c r="P70" s="68">
        <v>1010</v>
      </c>
      <c r="Q70" s="68">
        <v>356</v>
      </c>
      <c r="R70" s="68">
        <v>440</v>
      </c>
      <c r="S70" s="69">
        <v>398</v>
      </c>
      <c r="U70" s="45" t="s">
        <v>8</v>
      </c>
      <c r="V70" s="9">
        <f t="shared" si="0"/>
        <v>1.2566066066066066</v>
      </c>
      <c r="X70" s="45" t="s">
        <v>8</v>
      </c>
      <c r="Y70" s="48">
        <f t="shared" si="1"/>
        <v>41845</v>
      </c>
    </row>
    <row r="71" spans="5:25">
      <c r="E71" s="204" t="s">
        <v>9</v>
      </c>
      <c r="F71" s="67">
        <v>504</v>
      </c>
      <c r="G71" s="68">
        <v>783</v>
      </c>
      <c r="H71" s="68">
        <v>71</v>
      </c>
      <c r="I71" s="68">
        <v>30</v>
      </c>
      <c r="J71" s="68">
        <v>110</v>
      </c>
      <c r="K71" s="68">
        <v>14</v>
      </c>
      <c r="L71" s="69">
        <v>9</v>
      </c>
      <c r="M71" s="67">
        <v>792</v>
      </c>
      <c r="N71" s="68">
        <v>480</v>
      </c>
      <c r="O71" s="68">
        <v>651</v>
      </c>
      <c r="P71" s="68">
        <v>48</v>
      </c>
      <c r="Q71" s="68">
        <v>11</v>
      </c>
      <c r="R71" s="68">
        <v>31</v>
      </c>
      <c r="S71" s="69">
        <v>6</v>
      </c>
      <c r="U71" s="45" t="s">
        <v>9</v>
      </c>
      <c r="V71" s="9">
        <f t="shared" si="0"/>
        <v>0.1063063063063063</v>
      </c>
      <c r="X71" s="45" t="s">
        <v>9</v>
      </c>
      <c r="Y71" s="48">
        <f t="shared" si="1"/>
        <v>3540</v>
      </c>
    </row>
    <row r="72" spans="5:25">
      <c r="E72" s="204" t="s">
        <v>10</v>
      </c>
      <c r="F72" s="67">
        <v>481</v>
      </c>
      <c r="G72" s="68">
        <v>635</v>
      </c>
      <c r="H72" s="68">
        <v>5</v>
      </c>
      <c r="I72" s="68">
        <v>21</v>
      </c>
      <c r="J72" s="68"/>
      <c r="K72" s="68">
        <v>233</v>
      </c>
      <c r="L72" s="69">
        <v>215</v>
      </c>
      <c r="M72" s="67">
        <v>774</v>
      </c>
      <c r="N72" s="68">
        <v>656</v>
      </c>
      <c r="O72" s="68">
        <v>135</v>
      </c>
      <c r="P72" s="68"/>
      <c r="Q72" s="68"/>
      <c r="R72" s="68">
        <v>364</v>
      </c>
      <c r="S72" s="69">
        <v>58</v>
      </c>
      <c r="U72" s="45" t="s">
        <v>10</v>
      </c>
      <c r="V72" s="9">
        <f t="shared" si="0"/>
        <v>0.10741741741741742</v>
      </c>
      <c r="X72" s="45" t="s">
        <v>10</v>
      </c>
      <c r="Y72" s="48">
        <f t="shared" si="1"/>
        <v>3577</v>
      </c>
    </row>
    <row r="73" spans="5:25">
      <c r="E73" s="204" t="s">
        <v>11</v>
      </c>
      <c r="F73" s="67">
        <v>121</v>
      </c>
      <c r="G73" s="68">
        <v>186</v>
      </c>
      <c r="H73" s="68">
        <v>14</v>
      </c>
      <c r="I73" s="68">
        <v>42</v>
      </c>
      <c r="J73" s="68"/>
      <c r="K73" s="68">
        <v>1</v>
      </c>
      <c r="L73" s="69"/>
      <c r="M73" s="67">
        <v>155</v>
      </c>
      <c r="N73" s="68">
        <v>151</v>
      </c>
      <c r="O73" s="68">
        <v>41</v>
      </c>
      <c r="P73" s="68">
        <v>8</v>
      </c>
      <c r="Q73" s="68"/>
      <c r="R73" s="68">
        <v>2</v>
      </c>
      <c r="S73" s="69">
        <v>1</v>
      </c>
      <c r="U73" s="45" t="s">
        <v>11</v>
      </c>
      <c r="V73" s="9">
        <f t="shared" si="0"/>
        <v>2.1681681681681681E-2</v>
      </c>
      <c r="X73" s="45" t="s">
        <v>11</v>
      </c>
      <c r="Y73" s="48">
        <f t="shared" si="1"/>
        <v>722</v>
      </c>
    </row>
    <row r="74" spans="5:25">
      <c r="E74" s="204" t="s">
        <v>12</v>
      </c>
      <c r="F74" s="67">
        <v>91</v>
      </c>
      <c r="G74" s="68">
        <v>468</v>
      </c>
      <c r="H74" s="68">
        <v>18</v>
      </c>
      <c r="I74" s="68">
        <v>297</v>
      </c>
      <c r="J74" s="68">
        <v>132</v>
      </c>
      <c r="K74" s="68">
        <v>2</v>
      </c>
      <c r="L74" s="69">
        <v>1</v>
      </c>
      <c r="M74" s="67">
        <v>519</v>
      </c>
      <c r="N74" s="68">
        <v>198</v>
      </c>
      <c r="O74" s="68">
        <v>284</v>
      </c>
      <c r="P74" s="68">
        <v>6</v>
      </c>
      <c r="Q74" s="68"/>
      <c r="R74" s="68">
        <v>6</v>
      </c>
      <c r="S74" s="69"/>
      <c r="U74" s="45" t="s">
        <v>12</v>
      </c>
      <c r="V74" s="9">
        <f t="shared" si="0"/>
        <v>6.0720720720720718E-2</v>
      </c>
      <c r="X74" s="45" t="s">
        <v>12</v>
      </c>
      <c r="Y74" s="48">
        <f t="shared" si="1"/>
        <v>2022</v>
      </c>
    </row>
    <row r="75" spans="5:25">
      <c r="E75" s="205" t="s">
        <v>13</v>
      </c>
      <c r="F75" s="70"/>
      <c r="G75" s="71">
        <v>325</v>
      </c>
      <c r="H75" s="71">
        <v>9</v>
      </c>
      <c r="I75" s="71">
        <v>536</v>
      </c>
      <c r="J75" s="71">
        <v>5</v>
      </c>
      <c r="K75" s="71">
        <v>1</v>
      </c>
      <c r="L75" s="72"/>
      <c r="M75" s="70">
        <v>404</v>
      </c>
      <c r="N75" s="71">
        <v>226</v>
      </c>
      <c r="O75" s="71">
        <v>84</v>
      </c>
      <c r="P75" s="71">
        <v>2</v>
      </c>
      <c r="Q75" s="71"/>
      <c r="R75" s="71"/>
      <c r="S75" s="72"/>
      <c r="U75" s="46" t="s">
        <v>13</v>
      </c>
      <c r="V75" s="10">
        <f t="shared" si="0"/>
        <v>4.7807807807807808E-2</v>
      </c>
      <c r="X75" s="46" t="s">
        <v>13</v>
      </c>
      <c r="Y75" s="49">
        <f t="shared" si="1"/>
        <v>1592</v>
      </c>
    </row>
    <row r="77" spans="5:25">
      <c r="E77" s="227" t="s">
        <v>35</v>
      </c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9"/>
      <c r="V77" s="54">
        <f>Y77/V$3</f>
        <v>5.8057357357357358</v>
      </c>
      <c r="X77" s="53" t="s">
        <v>20</v>
      </c>
      <c r="Y77" s="51">
        <f>SUM(Y62:Y75)</f>
        <v>193331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6.4156382970081444E-2</v>
      </c>
      <c r="G80" s="31">
        <v>0.18262019694206</v>
      </c>
      <c r="H80" s="31">
        <v>0.27350285241497863</v>
      </c>
      <c r="I80" s="31">
        <v>0.1950323022110669</v>
      </c>
      <c r="J80" s="31">
        <v>0.37801227974213752</v>
      </c>
      <c r="K80" s="31">
        <v>0.20076123490582531</v>
      </c>
      <c r="L80" s="33">
        <v>0.20009968274093259</v>
      </c>
      <c r="M80" s="29">
        <v>0.26847065732767667</v>
      </c>
      <c r="N80" s="31">
        <v>0.22473424379786905</v>
      </c>
      <c r="O80" s="31">
        <v>0.32895785936542055</v>
      </c>
      <c r="P80" s="31">
        <v>0.21619323463454221</v>
      </c>
      <c r="Q80" s="31">
        <v>0.26038376182148332</v>
      </c>
      <c r="R80" s="31">
        <v>0.22831654350110883</v>
      </c>
      <c r="S80" s="33">
        <v>0.18975827535955062</v>
      </c>
    </row>
    <row r="81" spans="5:19">
      <c r="E81" s="45" t="s">
        <v>1</v>
      </c>
      <c r="F81" s="32">
        <v>0.21549752939667885</v>
      </c>
      <c r="G81" s="30">
        <v>8.5128475009913343E-2</v>
      </c>
      <c r="H81" s="30">
        <v>0.31773833923592726</v>
      </c>
      <c r="I81" s="30">
        <v>0.21073026653687152</v>
      </c>
      <c r="J81" s="30">
        <v>0.2710029561613751</v>
      </c>
      <c r="K81" s="30">
        <v>0.25487538350711209</v>
      </c>
      <c r="L81" s="34">
        <v>0.20756524679308078</v>
      </c>
      <c r="M81" s="32">
        <v>0.20998481601252714</v>
      </c>
      <c r="N81" s="30">
        <v>0.26721034090846485</v>
      </c>
      <c r="O81" s="30">
        <v>0.29115391321234313</v>
      </c>
      <c r="P81" s="30">
        <v>0.32548372674384418</v>
      </c>
      <c r="Q81" s="30">
        <v>0.25778679375293417</v>
      </c>
      <c r="R81" s="30">
        <v>0.25033210587531213</v>
      </c>
      <c r="S81" s="34">
        <v>0.20915968088120712</v>
      </c>
    </row>
    <row r="82" spans="5:19">
      <c r="E82" s="45" t="s">
        <v>2</v>
      </c>
      <c r="F82" s="32">
        <v>0.30022312414949842</v>
      </c>
      <c r="G82" s="30">
        <v>0.32072014378010705</v>
      </c>
      <c r="H82" s="30">
        <v>0.11864074006010356</v>
      </c>
      <c r="I82" s="30">
        <v>0.2940794568016496</v>
      </c>
      <c r="J82" s="30">
        <v>0.24085277203763863</v>
      </c>
      <c r="K82" s="30">
        <v>0.25450664507978343</v>
      </c>
      <c r="L82" s="34">
        <v>0.30952514616622012</v>
      </c>
      <c r="M82" s="32">
        <v>0.30659749092339861</v>
      </c>
      <c r="N82" s="30">
        <v>0.30596561503758196</v>
      </c>
      <c r="O82" s="30">
        <v>0.29123886208883859</v>
      </c>
      <c r="P82" s="30">
        <v>0.26914067342025177</v>
      </c>
      <c r="Q82" s="30">
        <v>0.236363885006658</v>
      </c>
      <c r="R82" s="30">
        <v>0.36806515276608265</v>
      </c>
      <c r="S82" s="34">
        <v>0.38353844624272476</v>
      </c>
    </row>
    <row r="83" spans="5:19">
      <c r="E83" s="45" t="s">
        <v>3</v>
      </c>
      <c r="F83" s="32">
        <v>0.2168988794603843</v>
      </c>
      <c r="G83" s="30">
        <v>0.24079780714984367</v>
      </c>
      <c r="H83" s="30">
        <v>0.21982433463906412</v>
      </c>
      <c r="I83" s="30">
        <v>0.24260592536930764</v>
      </c>
      <c r="J83" s="30">
        <v>0.3787887121701688</v>
      </c>
      <c r="K83" s="30">
        <v>5.3404988328371622E-2</v>
      </c>
      <c r="L83" s="34">
        <v>0.13153931744816816</v>
      </c>
      <c r="M83" s="32">
        <v>0.24081759162938698</v>
      </c>
      <c r="N83" s="30">
        <v>0.21948254988706692</v>
      </c>
      <c r="O83" s="30">
        <v>0.36186448098009916</v>
      </c>
      <c r="P83" s="30">
        <v>0.35930606547242261</v>
      </c>
      <c r="Q83" s="30">
        <v>0.3000078348971173</v>
      </c>
      <c r="R83" s="30">
        <v>0.11152207858201547</v>
      </c>
      <c r="S83" s="34">
        <v>8.3959521166733622E-2</v>
      </c>
    </row>
    <row r="84" spans="5:19">
      <c r="E84" s="45" t="s">
        <v>4</v>
      </c>
      <c r="F84" s="32">
        <v>0.35232783047687294</v>
      </c>
      <c r="G84" s="30">
        <v>0.3004676030686419</v>
      </c>
      <c r="H84" s="30">
        <v>0.20869295310890323</v>
      </c>
      <c r="I84" s="30">
        <v>0.43194372425170424</v>
      </c>
      <c r="J84" s="30">
        <v>0.29366826780788813</v>
      </c>
      <c r="K84" s="30">
        <v>0.28903413975582831</v>
      </c>
      <c r="L84" s="34">
        <v>0.47042509323628362</v>
      </c>
      <c r="M84" s="32">
        <v>0.32427290442578266</v>
      </c>
      <c r="N84" s="30">
        <v>0.26951316054396285</v>
      </c>
      <c r="O84" s="30">
        <v>0.38858131617777464</v>
      </c>
      <c r="P84" s="30">
        <v>0.4463273671054232</v>
      </c>
      <c r="Q84" s="30">
        <v>0.21209030231072271</v>
      </c>
      <c r="R84" s="30">
        <v>0.31168545543333981</v>
      </c>
      <c r="S84" s="34">
        <v>0.16795959027624324</v>
      </c>
    </row>
    <row r="85" spans="5:19">
      <c r="E85" s="45" t="s">
        <v>5</v>
      </c>
      <c r="F85" s="32">
        <v>0.25644242826562591</v>
      </c>
      <c r="G85" s="30">
        <v>0.29059102727136926</v>
      </c>
      <c r="H85" s="30">
        <v>0.14194863377848085</v>
      </c>
      <c r="I85" s="30">
        <v>0.29468611483600743</v>
      </c>
      <c r="J85" s="30">
        <v>0.25246995948401085</v>
      </c>
      <c r="K85" s="30">
        <v>0.25819415505700954</v>
      </c>
      <c r="L85" s="34">
        <v>0.22569736897474452</v>
      </c>
      <c r="M85" s="32">
        <v>0.32613981104738948</v>
      </c>
      <c r="N85" s="30">
        <v>0.25369137814228143</v>
      </c>
      <c r="O85" s="30">
        <v>0.34476805639694963</v>
      </c>
      <c r="P85" s="30">
        <v>0.18709224468621055</v>
      </c>
      <c r="Q85" s="30">
        <v>0.22909463170514754</v>
      </c>
      <c r="R85" s="30">
        <v>0.37358916181958945</v>
      </c>
      <c r="S85" s="34">
        <v>0.37643737724624771</v>
      </c>
    </row>
    <row r="86" spans="5:19">
      <c r="E86" s="46" t="s">
        <v>6</v>
      </c>
      <c r="F86" s="37">
        <v>0.1695355548984166</v>
      </c>
      <c r="G86" s="36">
        <v>0.22210629334124851</v>
      </c>
      <c r="H86" s="36">
        <v>0.29167847243150696</v>
      </c>
      <c r="I86" s="36">
        <v>0.26119688302212346</v>
      </c>
      <c r="J86" s="36">
        <v>0.55850888498912354</v>
      </c>
      <c r="K86" s="36">
        <v>0.36474519721812049</v>
      </c>
      <c r="L86" s="35">
        <v>0.27039820701412914</v>
      </c>
      <c r="M86" s="37">
        <v>0.30725879037556492</v>
      </c>
      <c r="N86" s="36">
        <v>0.19588678956863198</v>
      </c>
      <c r="O86" s="36">
        <v>0.36570317669802938</v>
      </c>
      <c r="P86" s="36">
        <v>5.6132649901802278E-2</v>
      </c>
      <c r="Q86" s="36">
        <v>1.0771445577802297E-2</v>
      </c>
      <c r="R86" s="36">
        <v>0.27730896043253367</v>
      </c>
      <c r="S86" s="35">
        <v>0.27020245002506726</v>
      </c>
    </row>
    <row r="87" spans="5:19">
      <c r="E87" s="44" t="s">
        <v>7</v>
      </c>
      <c r="F87" s="11">
        <v>0.25509485069062748</v>
      </c>
      <c r="G87" s="12">
        <v>0.21307704051256404</v>
      </c>
      <c r="H87" s="12">
        <v>0.31346447338428379</v>
      </c>
      <c r="I87" s="12">
        <v>0.20148715148607843</v>
      </c>
      <c r="J87" s="12">
        <v>0.26069124757348022</v>
      </c>
      <c r="K87" s="12">
        <v>0.21787987899494765</v>
      </c>
      <c r="L87" s="13">
        <v>0.16335351320451758</v>
      </c>
      <c r="M87" s="11">
        <v>6.4509170356265674E-2</v>
      </c>
      <c r="N87" s="12">
        <v>0.20070665861046569</v>
      </c>
      <c r="O87" s="12">
        <v>0.2657892319463096</v>
      </c>
      <c r="P87" s="12">
        <v>0.20717117004266569</v>
      </c>
      <c r="Q87" s="12">
        <v>0.29841177443803946</v>
      </c>
      <c r="R87" s="12">
        <v>0.23753953314525877</v>
      </c>
      <c r="S87" s="13">
        <v>0.1726027999689472</v>
      </c>
    </row>
    <row r="88" spans="5:19">
      <c r="E88" s="45" t="s">
        <v>8</v>
      </c>
      <c r="F88" s="14">
        <v>0.19556683902989186</v>
      </c>
      <c r="G88" s="15">
        <v>0.26401210372242495</v>
      </c>
      <c r="H88" s="15">
        <v>0.2575780782623564</v>
      </c>
      <c r="I88" s="15">
        <v>0.2995352813083953</v>
      </c>
      <c r="J88" s="15">
        <v>0.377129685511149</v>
      </c>
      <c r="K88" s="15">
        <v>0.21483891024196985</v>
      </c>
      <c r="L88" s="16">
        <v>0.18663177016943369</v>
      </c>
      <c r="M88" s="14">
        <v>0.21038622700644941</v>
      </c>
      <c r="N88" s="15">
        <v>8.0509828548834941E-2</v>
      </c>
      <c r="O88" s="15">
        <v>0.30327403167944406</v>
      </c>
      <c r="P88" s="15">
        <v>0.22835292759134709</v>
      </c>
      <c r="Q88" s="15">
        <v>0.30673461574627281</v>
      </c>
      <c r="R88" s="15">
        <v>0.24617526895125644</v>
      </c>
      <c r="S88" s="16">
        <v>0.21474599101425798</v>
      </c>
    </row>
    <row r="89" spans="5:19">
      <c r="E89" s="45" t="s">
        <v>9</v>
      </c>
      <c r="F89" s="14">
        <v>0.32031896525983683</v>
      </c>
      <c r="G89" s="15">
        <v>0.26462954068026684</v>
      </c>
      <c r="H89" s="15">
        <v>0.34184046075285174</v>
      </c>
      <c r="I89" s="15">
        <v>0.35176761303581661</v>
      </c>
      <c r="J89" s="15">
        <v>0.36591665291499947</v>
      </c>
      <c r="K89" s="15">
        <v>0.24294753753080631</v>
      </c>
      <c r="L89" s="16">
        <v>0.37210855146387972</v>
      </c>
      <c r="M89" s="14">
        <v>0.27862569726172998</v>
      </c>
      <c r="N89" s="15">
        <v>0.30227585648473421</v>
      </c>
      <c r="O89" s="15">
        <v>0.11014798876679477</v>
      </c>
      <c r="P89" s="15">
        <v>0.33161712327285675</v>
      </c>
      <c r="Q89" s="15">
        <v>0.28025241996120215</v>
      </c>
      <c r="R89" s="15">
        <v>0.24477571585188629</v>
      </c>
      <c r="S89" s="16">
        <v>0.30307431936236795</v>
      </c>
    </row>
    <row r="90" spans="5:19">
      <c r="E90" s="45" t="s">
        <v>10</v>
      </c>
      <c r="F90" s="14">
        <v>0.24973097532111901</v>
      </c>
      <c r="G90" s="15">
        <v>0.24358042160372512</v>
      </c>
      <c r="H90" s="15">
        <v>0.25048060893646179</v>
      </c>
      <c r="I90" s="15">
        <v>0.31183092931647233</v>
      </c>
      <c r="J90" s="15">
        <v>0.50787504127602767</v>
      </c>
      <c r="K90" s="15">
        <v>0.23800243204808544</v>
      </c>
      <c r="L90" s="16">
        <v>0.1313149697856959</v>
      </c>
      <c r="M90" s="14">
        <v>0.20747940607488671</v>
      </c>
      <c r="N90" s="15">
        <v>0.23289976629743397</v>
      </c>
      <c r="O90" s="15">
        <v>0.25266669156483834</v>
      </c>
      <c r="P90" s="15">
        <v>0.32667703554222061</v>
      </c>
      <c r="Q90" s="15">
        <v>0.35499158288645222</v>
      </c>
      <c r="R90" s="15">
        <v>4.2301551227579948E-2</v>
      </c>
      <c r="S90" s="16">
        <v>0.14858174815512762</v>
      </c>
    </row>
    <row r="91" spans="5:19">
      <c r="E91" s="45" t="s">
        <v>11</v>
      </c>
      <c r="F91" s="14">
        <v>0.31316741029906903</v>
      </c>
      <c r="G91" s="15">
        <v>0.30038735748163342</v>
      </c>
      <c r="H91" s="15">
        <v>0.28811972552817067</v>
      </c>
      <c r="I91" s="15">
        <v>0.1461488559194484</v>
      </c>
      <c r="J91" s="15">
        <v>0.19057953485771578</v>
      </c>
      <c r="K91" s="15">
        <v>0.34757200318182413</v>
      </c>
      <c r="L91" s="16">
        <v>0.33451472187562103</v>
      </c>
      <c r="M91" s="14">
        <v>0.30469576770980317</v>
      </c>
      <c r="N91" s="15">
        <v>0.27181958176667886</v>
      </c>
      <c r="O91" s="15">
        <v>0.28621141629246266</v>
      </c>
      <c r="P91" s="15">
        <v>0.31335702897290502</v>
      </c>
      <c r="Q91" s="15">
        <v>0.29722147254915399</v>
      </c>
      <c r="R91" s="15">
        <v>0.29509748222994858</v>
      </c>
      <c r="S91" s="16">
        <v>0.5995338038097543</v>
      </c>
    </row>
    <row r="92" spans="5:19">
      <c r="E92" s="45" t="s">
        <v>12</v>
      </c>
      <c r="F92" s="14">
        <v>0.3269682411452946</v>
      </c>
      <c r="G92" s="15">
        <v>0.23902989879509537</v>
      </c>
      <c r="H92" s="15">
        <v>0.37661694706069238</v>
      </c>
      <c r="I92" s="15">
        <v>0.21212733008283055</v>
      </c>
      <c r="J92" s="15">
        <v>0.30688223764487749</v>
      </c>
      <c r="K92" s="15">
        <v>0.31177994314698088</v>
      </c>
      <c r="L92" s="16">
        <v>0.30121888447351092</v>
      </c>
      <c r="M92" s="14">
        <v>0.26372669224737999</v>
      </c>
      <c r="N92" s="15">
        <v>0.28534531114786643</v>
      </c>
      <c r="O92" s="15">
        <v>0.11924098079293205</v>
      </c>
      <c r="P92" s="15">
        <v>0.34201055287241533</v>
      </c>
      <c r="Q92" s="15">
        <v>0.22420513084054822</v>
      </c>
      <c r="R92" s="15">
        <v>0.26748752084389588</v>
      </c>
      <c r="S92" s="16">
        <v>0.34973133221577274</v>
      </c>
    </row>
    <row r="93" spans="5:19">
      <c r="E93" s="46" t="s">
        <v>13</v>
      </c>
      <c r="F93" s="17">
        <v>0.29868754651886298</v>
      </c>
      <c r="G93" s="18">
        <v>0.21812448146123578</v>
      </c>
      <c r="H93" s="18">
        <v>0.3632926778385796</v>
      </c>
      <c r="I93" s="18">
        <v>4.5711136233160046E-2</v>
      </c>
      <c r="J93" s="18">
        <v>0.55792527202295328</v>
      </c>
      <c r="K93" s="18">
        <v>0.34976196317061942</v>
      </c>
      <c r="L93" s="19">
        <v>0.47913486293753826</v>
      </c>
      <c r="M93" s="17">
        <v>0.1989121267942339</v>
      </c>
      <c r="N93" s="18">
        <v>0.22189194580773533</v>
      </c>
      <c r="O93" s="18">
        <v>0.21255308856692659</v>
      </c>
      <c r="P93" s="18">
        <v>0.3043311689639368</v>
      </c>
      <c r="Q93" s="18">
        <v>0.29424924318300327</v>
      </c>
      <c r="R93" s="18">
        <v>0.3042613060575744</v>
      </c>
      <c r="S93" s="19">
        <v>0.23035945895803422</v>
      </c>
    </row>
    <row r="95" spans="5:19">
      <c r="E95" s="227" t="s">
        <v>36</v>
      </c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9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8.5732418494962506E-2</v>
      </c>
      <c r="G98" s="31">
        <v>0.23522434529016101</v>
      </c>
      <c r="H98" s="31">
        <v>0.249307211367675</v>
      </c>
      <c r="I98" s="31">
        <v>0.19718111650485601</v>
      </c>
      <c r="J98" s="31">
        <v>8.0182727272727197E-2</v>
      </c>
      <c r="K98" s="31">
        <v>5.5862378752886702E-2</v>
      </c>
      <c r="L98" s="33">
        <v>3.30687003610107E-2</v>
      </c>
      <c r="M98" s="29">
        <v>0.49616240963854602</v>
      </c>
      <c r="N98" s="31">
        <v>0.307939557855121</v>
      </c>
      <c r="O98" s="31">
        <v>0.71296119691119697</v>
      </c>
      <c r="P98" s="31">
        <v>0.10875843478260901</v>
      </c>
      <c r="Q98" s="31">
        <v>1.903E-3</v>
      </c>
      <c r="R98" s="31">
        <v>8.1035481171548004E-2</v>
      </c>
      <c r="S98" s="33">
        <v>6.2095381818181597E-2</v>
      </c>
    </row>
    <row r="99" spans="5:19">
      <c r="E99" s="45" t="s">
        <v>1</v>
      </c>
      <c r="F99" s="32">
        <v>0.156341549454068</v>
      </c>
      <c r="G99" s="30">
        <v>4.4188328605455802E-2</v>
      </c>
      <c r="H99" s="30">
        <v>0.104972225519288</v>
      </c>
      <c r="I99" s="30">
        <v>6.0654549549549998E-2</v>
      </c>
      <c r="J99" s="30">
        <v>4.1274479166666499E-3</v>
      </c>
      <c r="K99" s="30">
        <v>2.2085870535714199E-2</v>
      </c>
      <c r="L99" s="34">
        <v>3.6249821882951498E-2</v>
      </c>
      <c r="M99" s="32">
        <v>0.18980368940129799</v>
      </c>
      <c r="N99" s="30">
        <v>0.21568971735240799</v>
      </c>
      <c r="O99" s="30">
        <v>0.2814369250646</v>
      </c>
      <c r="P99" s="30"/>
      <c r="Q99" s="30"/>
      <c r="R99" s="30">
        <v>2.8038571428571302E-2</v>
      </c>
      <c r="S99" s="34">
        <v>2.4657285223367499E-2</v>
      </c>
    </row>
    <row r="100" spans="5:19">
      <c r="E100" s="45" t="s">
        <v>2</v>
      </c>
      <c r="F100" s="32">
        <v>0.85608618015963101</v>
      </c>
      <c r="G100" s="30">
        <v>1.01711399022801</v>
      </c>
      <c r="H100" s="30">
        <v>0.351034816326531</v>
      </c>
      <c r="I100" s="30">
        <v>0.55256928571428499</v>
      </c>
      <c r="J100" s="30">
        <v>2.4005555555555499E-2</v>
      </c>
      <c r="K100" s="30">
        <v>0.114665999999999</v>
      </c>
      <c r="L100" s="34">
        <v>1.4906200000000001</v>
      </c>
      <c r="M100" s="32">
        <v>1.0227502071005801</v>
      </c>
      <c r="N100" s="30">
        <v>0.87258738031914596</v>
      </c>
      <c r="O100" s="30">
        <v>0.99668163461538395</v>
      </c>
      <c r="P100" s="30">
        <v>0.36499888888888798</v>
      </c>
      <c r="Q100" s="30">
        <v>3.3453982300884898E-3</v>
      </c>
      <c r="R100" s="30">
        <v>0.57540100000000005</v>
      </c>
      <c r="S100" s="34">
        <v>0.66007071428571396</v>
      </c>
    </row>
    <row r="101" spans="5:19">
      <c r="E101" s="45" t="s">
        <v>3</v>
      </c>
      <c r="F101" s="32">
        <v>0.25403213315217499</v>
      </c>
      <c r="G101" s="30">
        <v>0.24862750337382</v>
      </c>
      <c r="H101" s="30">
        <v>1.6616220930232399E-2</v>
      </c>
      <c r="I101" s="30">
        <v>1.0000000000000001E-5</v>
      </c>
      <c r="J101" s="30"/>
      <c r="K101" s="30">
        <v>2.5124694533761899E-2</v>
      </c>
      <c r="L101" s="34">
        <v>0.124621132075471</v>
      </c>
      <c r="M101" s="32">
        <v>0.31448232464929898</v>
      </c>
      <c r="N101" s="30">
        <v>0.31689895522388101</v>
      </c>
      <c r="O101" s="30">
        <v>0.36533333333333301</v>
      </c>
      <c r="P101" s="30">
        <v>1.9985714285714199E-3</v>
      </c>
      <c r="Q101" s="30"/>
      <c r="R101" s="30">
        <v>0.21543000000000001</v>
      </c>
      <c r="S101" s="34">
        <v>9.29742372881356E-2</v>
      </c>
    </row>
    <row r="102" spans="5:19">
      <c r="E102" s="45" t="s">
        <v>4</v>
      </c>
      <c r="F102" s="32">
        <v>1.21639067484662</v>
      </c>
      <c r="G102" s="30">
        <v>1.54649047297297</v>
      </c>
      <c r="H102" s="30">
        <v>0.62919350877192903</v>
      </c>
      <c r="I102" s="30">
        <v>0.516217777777777</v>
      </c>
      <c r="J102" s="30"/>
      <c r="K102" s="30"/>
      <c r="L102" s="34"/>
      <c r="M102" s="32">
        <v>1.3596079720279699</v>
      </c>
      <c r="N102" s="30">
        <v>0.99724152439024405</v>
      </c>
      <c r="O102" s="30">
        <v>1.69366666666666</v>
      </c>
      <c r="P102" s="30">
        <v>0.85032880952380896</v>
      </c>
      <c r="Q102" s="30">
        <v>8.0000000000000002E-3</v>
      </c>
      <c r="R102" s="30">
        <v>0.32100000000000001</v>
      </c>
      <c r="S102" s="34"/>
    </row>
    <row r="103" spans="5:19">
      <c r="E103" s="45" t="s">
        <v>5</v>
      </c>
      <c r="F103" s="32">
        <v>0.40332698602794498</v>
      </c>
      <c r="G103" s="30">
        <v>0.60843990196078401</v>
      </c>
      <c r="H103" s="30">
        <v>0.13614267657992499</v>
      </c>
      <c r="I103" s="30">
        <v>0.53187499999999999</v>
      </c>
      <c r="J103" s="30"/>
      <c r="K103" s="30">
        <v>2E-3</v>
      </c>
      <c r="L103" s="34"/>
      <c r="M103" s="32">
        <v>0.86042775700934604</v>
      </c>
      <c r="N103" s="30">
        <v>0.36090660633484201</v>
      </c>
      <c r="O103" s="30">
        <v>1.13576923076923</v>
      </c>
      <c r="P103" s="30">
        <v>0.23516947019867501</v>
      </c>
      <c r="Q103" s="30">
        <v>6.5096080000000001E-2</v>
      </c>
      <c r="R103" s="30"/>
      <c r="S103" s="34"/>
    </row>
    <row r="104" spans="5:19">
      <c r="E104" s="46" t="s">
        <v>6</v>
      </c>
      <c r="F104" s="37">
        <v>0.177847184210526</v>
      </c>
      <c r="G104" s="36">
        <v>8.5784304932735297E-2</v>
      </c>
      <c r="H104" s="36">
        <v>0.180455227272727</v>
      </c>
      <c r="I104" s="36"/>
      <c r="J104" s="36">
        <v>1E-3</v>
      </c>
      <c r="K104" s="36"/>
      <c r="L104" s="35">
        <v>1E-3</v>
      </c>
      <c r="M104" s="37"/>
      <c r="N104" s="36">
        <v>0.175503636363636</v>
      </c>
      <c r="O104" s="36">
        <v>0.62078</v>
      </c>
      <c r="P104" s="36">
        <v>5.4930693950178001E-2</v>
      </c>
      <c r="Q104" s="36">
        <v>3.0470000000000001E-2</v>
      </c>
      <c r="R104" s="36">
        <v>0.38300000000000001</v>
      </c>
      <c r="S104" s="35">
        <v>1.0000000000000001E-5</v>
      </c>
    </row>
    <row r="105" spans="5:19">
      <c r="E105" s="44" t="s">
        <v>7</v>
      </c>
      <c r="F105" s="11">
        <v>0.454628439114383</v>
      </c>
      <c r="G105" s="12">
        <v>0.27984040139615302</v>
      </c>
      <c r="H105" s="12">
        <v>0.87368293948126696</v>
      </c>
      <c r="I105" s="12">
        <v>0.110118083832335</v>
      </c>
      <c r="J105" s="12">
        <v>2.0396153846153802E-3</v>
      </c>
      <c r="K105" s="12">
        <v>5.8347074074073899E-2</v>
      </c>
      <c r="L105" s="13">
        <v>4.3297777777777498E-2</v>
      </c>
      <c r="M105" s="11">
        <v>7.4011881283313305E-2</v>
      </c>
      <c r="N105" s="12">
        <v>0.21856512914051299</v>
      </c>
      <c r="O105" s="12">
        <v>0.18865882352941299</v>
      </c>
      <c r="P105" s="12">
        <v>0.226347314285715</v>
      </c>
      <c r="Q105" s="12">
        <v>2.1119491525423702E-2</v>
      </c>
      <c r="R105" s="12">
        <v>6.1165620767494301E-2</v>
      </c>
      <c r="S105" s="13">
        <v>6.5305288461538297E-2</v>
      </c>
    </row>
    <row r="106" spans="5:19">
      <c r="E106" s="45" t="s">
        <v>8</v>
      </c>
      <c r="F106" s="14">
        <v>0.21983600756702801</v>
      </c>
      <c r="G106" s="15">
        <v>0.180454123557866</v>
      </c>
      <c r="H106" s="15">
        <v>0.28851288557214</v>
      </c>
      <c r="I106" s="15"/>
      <c r="J106" s="15"/>
      <c r="K106" s="15">
        <v>7.8372839506172694E-3</v>
      </c>
      <c r="L106" s="16">
        <v>1.6759025423728799E-2</v>
      </c>
      <c r="M106" s="14">
        <v>0.16282303776179899</v>
      </c>
      <c r="N106" s="15">
        <v>4.9843540784694301E-2</v>
      </c>
      <c r="O106" s="15">
        <v>0.106505537037037</v>
      </c>
      <c r="P106" s="15">
        <v>8.4560980198020094E-2</v>
      </c>
      <c r="Q106" s="15">
        <v>1.5800617977527999E-2</v>
      </c>
      <c r="R106" s="15">
        <v>1.66252954545454E-2</v>
      </c>
      <c r="S106" s="16">
        <v>5.3185628140703399E-2</v>
      </c>
    </row>
    <row r="107" spans="5:19">
      <c r="E107" s="45" t="s">
        <v>9</v>
      </c>
      <c r="F107" s="14">
        <v>1.17566474206349</v>
      </c>
      <c r="G107" s="15">
        <v>0.58116738186462102</v>
      </c>
      <c r="H107" s="15">
        <v>1.1185209859154901</v>
      </c>
      <c r="I107" s="15">
        <v>0.21286166666666601</v>
      </c>
      <c r="J107" s="15">
        <v>8.3271818181818204E-3</v>
      </c>
      <c r="K107" s="15">
        <v>0.30371428571428499</v>
      </c>
      <c r="L107" s="16">
        <v>0.169887777777777</v>
      </c>
      <c r="M107" s="14">
        <v>0.70303026515151301</v>
      </c>
      <c r="N107" s="15">
        <v>0.85654897916666595</v>
      </c>
      <c r="O107" s="15">
        <v>0.21593391705069201</v>
      </c>
      <c r="P107" s="15">
        <v>0.69195729166666597</v>
      </c>
      <c r="Q107" s="15">
        <v>0.17291363636363599</v>
      </c>
      <c r="R107" s="15">
        <v>5.8099032258064502E-2</v>
      </c>
      <c r="S107" s="16">
        <v>4.4331666666666603E-2</v>
      </c>
    </row>
    <row r="108" spans="5:19">
      <c r="E108" s="45" t="s">
        <v>10</v>
      </c>
      <c r="F108" s="14">
        <v>0.35396459459459501</v>
      </c>
      <c r="G108" s="15">
        <v>0.38112518110236299</v>
      </c>
      <c r="H108" s="15">
        <v>0.62919799999999904</v>
      </c>
      <c r="I108" s="15">
        <v>1.26671428571428E-2</v>
      </c>
      <c r="J108" s="15"/>
      <c r="K108" s="15">
        <v>5.9176094420600699E-2</v>
      </c>
      <c r="L108" s="16">
        <v>0.13443595348837201</v>
      </c>
      <c r="M108" s="14">
        <v>0.26804740310077602</v>
      </c>
      <c r="N108" s="15">
        <v>0.26007339939024499</v>
      </c>
      <c r="O108" s="15">
        <v>1.97261481481481E-2</v>
      </c>
      <c r="P108" s="15"/>
      <c r="Q108" s="15"/>
      <c r="R108" s="15">
        <v>9.3080769230769102E-3</v>
      </c>
      <c r="S108" s="16">
        <v>0.32006810344827502</v>
      </c>
    </row>
    <row r="109" spans="5:19">
      <c r="E109" s="45" t="s">
        <v>11</v>
      </c>
      <c r="F109" s="14">
        <v>1.4083949586776801</v>
      </c>
      <c r="G109" s="15">
        <v>1.0047433870967699</v>
      </c>
      <c r="H109" s="15">
        <v>1.2852142857142801</v>
      </c>
      <c r="I109" s="15">
        <v>0.74773619047619</v>
      </c>
      <c r="J109" s="15"/>
      <c r="K109" s="15">
        <v>0.40899999999999997</v>
      </c>
      <c r="L109" s="16"/>
      <c r="M109" s="14">
        <v>1.1102695483870899</v>
      </c>
      <c r="N109" s="15">
        <v>1.27956079470198</v>
      </c>
      <c r="O109" s="15">
        <v>0.63990243902439004</v>
      </c>
      <c r="P109" s="15">
        <v>1.9213724999999999</v>
      </c>
      <c r="Q109" s="15"/>
      <c r="R109" s="15">
        <v>1E-3</v>
      </c>
      <c r="S109" s="16">
        <v>6.4000000000000001E-2</v>
      </c>
    </row>
    <row r="110" spans="5:19">
      <c r="E110" s="45" t="s">
        <v>12</v>
      </c>
      <c r="F110" s="14">
        <v>1.1234057142857099</v>
      </c>
      <c r="G110" s="15">
        <v>0.36678143162393201</v>
      </c>
      <c r="H110" s="15">
        <v>0.72727611111111101</v>
      </c>
      <c r="I110" s="15">
        <v>0.164779393939394</v>
      </c>
      <c r="J110" s="15">
        <v>6.7498484848484801E-3</v>
      </c>
      <c r="K110" s="15">
        <v>2.621</v>
      </c>
      <c r="L110" s="16">
        <v>0.501</v>
      </c>
      <c r="M110" s="14">
        <v>0.40162853564547302</v>
      </c>
      <c r="N110" s="15">
        <v>0.43910015151515203</v>
      </c>
      <c r="O110" s="15">
        <v>0.109515985915493</v>
      </c>
      <c r="P110" s="15">
        <v>1.5106666666666599</v>
      </c>
      <c r="Q110" s="15"/>
      <c r="R110" s="15">
        <v>3.58366666666666E-2</v>
      </c>
      <c r="S110" s="16"/>
    </row>
    <row r="111" spans="5:19">
      <c r="E111" s="46" t="s">
        <v>13</v>
      </c>
      <c r="F111" s="17"/>
      <c r="G111" s="18">
        <v>0.14738175384615401</v>
      </c>
      <c r="H111" s="18">
        <v>0.18689111111111101</v>
      </c>
      <c r="I111" s="18">
        <v>0.10777845149253699</v>
      </c>
      <c r="J111" s="18">
        <v>1.1999999999999899E-3</v>
      </c>
      <c r="K111" s="18">
        <v>1E-3</v>
      </c>
      <c r="L111" s="19"/>
      <c r="M111" s="17">
        <v>0.104848193069307</v>
      </c>
      <c r="N111" s="18">
        <v>0.12854247787610601</v>
      </c>
      <c r="O111" s="18">
        <v>0.213512857142857</v>
      </c>
      <c r="P111" s="18">
        <v>2E-3</v>
      </c>
      <c r="Q111" s="18"/>
      <c r="R111" s="18"/>
      <c r="S111" s="19"/>
    </row>
    <row r="113" spans="5:19">
      <c r="E113" s="40" t="s">
        <v>21</v>
      </c>
      <c r="F113" s="41" t="s">
        <v>0</v>
      </c>
      <c r="G113" s="42" t="s">
        <v>1</v>
      </c>
      <c r="H113" s="42" t="s">
        <v>2</v>
      </c>
      <c r="I113" s="42" t="s">
        <v>3</v>
      </c>
      <c r="J113" s="42" t="s">
        <v>4</v>
      </c>
      <c r="K113" s="42" t="s">
        <v>5</v>
      </c>
      <c r="L113" s="43" t="s">
        <v>6</v>
      </c>
      <c r="M113" s="41" t="s">
        <v>7</v>
      </c>
      <c r="N113" s="42" t="s">
        <v>8</v>
      </c>
      <c r="O113" s="42" t="s">
        <v>9</v>
      </c>
      <c r="P113" s="42" t="s">
        <v>10</v>
      </c>
      <c r="Q113" s="42" t="s">
        <v>11</v>
      </c>
      <c r="R113" s="42" t="s">
        <v>12</v>
      </c>
      <c r="S113" s="43" t="s">
        <v>13</v>
      </c>
    </row>
    <row r="114" spans="5:19">
      <c r="E114" s="44" t="s">
        <v>0</v>
      </c>
      <c r="F114" s="29">
        <v>1.0000000000000001E-5</v>
      </c>
      <c r="G114" s="31">
        <v>1.0000000000000001E-5</v>
      </c>
      <c r="H114" s="31">
        <v>1.0000000000000001E-5</v>
      </c>
      <c r="I114" s="31">
        <v>1.0000000000000001E-5</v>
      </c>
      <c r="J114" s="31">
        <v>1.0000000000000001E-5</v>
      </c>
      <c r="K114" s="31">
        <v>1.0000000000000001E-5</v>
      </c>
      <c r="L114" s="33">
        <v>1.0000000000000001E-5</v>
      </c>
      <c r="M114" s="29">
        <v>1.0000000000000001E-5</v>
      </c>
      <c r="N114" s="31">
        <v>1.0000000000000001E-5</v>
      </c>
      <c r="O114" s="31">
        <v>1E-3</v>
      </c>
      <c r="P114" s="31">
        <v>1.0000000000000001E-5</v>
      </c>
      <c r="Q114" s="31">
        <v>1.0000000000000001E-5</v>
      </c>
      <c r="R114" s="31">
        <v>1.0000000000000001E-5</v>
      </c>
      <c r="S114" s="33">
        <v>1.0000000000000001E-5</v>
      </c>
    </row>
    <row r="115" spans="5:19">
      <c r="E115" s="45" t="s">
        <v>1</v>
      </c>
      <c r="F115" s="32">
        <v>1.0000000000000001E-5</v>
      </c>
      <c r="G115" s="30">
        <v>1.0000000000000001E-5</v>
      </c>
      <c r="H115" s="30">
        <v>1.0000000000000001E-5</v>
      </c>
      <c r="I115" s="30">
        <v>1.0000000000000001E-5</v>
      </c>
      <c r="J115" s="30">
        <v>1E-3</v>
      </c>
      <c r="K115" s="30">
        <v>1.0000000000000001E-5</v>
      </c>
      <c r="L115" s="34">
        <v>1.0000000000000001E-5</v>
      </c>
      <c r="M115" s="32">
        <v>1.0000000000000001E-5</v>
      </c>
      <c r="N115" s="30">
        <v>1.0000000000000001E-5</v>
      </c>
      <c r="O115" s="30">
        <v>1.0000000000000001E-5</v>
      </c>
      <c r="P115" s="215"/>
      <c r="Q115" s="215"/>
      <c r="R115" s="30">
        <v>1.0000000000000001E-5</v>
      </c>
      <c r="S115" s="34">
        <v>1.0000000000000001E-5</v>
      </c>
    </row>
    <row r="116" spans="5:19">
      <c r="E116" s="45" t="s">
        <v>2</v>
      </c>
      <c r="F116" s="32">
        <v>1.0000000000000001E-5</v>
      </c>
      <c r="G116" s="30">
        <v>9.8999999999999999E-4</v>
      </c>
      <c r="H116" s="30">
        <v>1.0000000000000001E-5</v>
      </c>
      <c r="I116" s="30">
        <v>1.1000000000000001E-3</v>
      </c>
      <c r="J116" s="30">
        <v>1.0000000000000001E-5</v>
      </c>
      <c r="K116" s="30">
        <v>1.0000000000000001E-5</v>
      </c>
      <c r="L116" s="34">
        <v>1.9186000000000002E-2</v>
      </c>
      <c r="M116" s="32">
        <v>2E-3</v>
      </c>
      <c r="N116" s="30">
        <v>1.0000000000000001E-5</v>
      </c>
      <c r="O116" s="30">
        <v>8.8859999999999998E-3</v>
      </c>
      <c r="P116" s="30">
        <v>1E-3</v>
      </c>
      <c r="Q116" s="30">
        <v>1E-3</v>
      </c>
      <c r="R116" s="30">
        <v>2.4301E-2</v>
      </c>
      <c r="S116" s="34">
        <v>1.8100000000000002E-2</v>
      </c>
    </row>
    <row r="117" spans="5:19">
      <c r="E117" s="45" t="s">
        <v>3</v>
      </c>
      <c r="F117" s="32">
        <v>1.0000000000000001E-5</v>
      </c>
      <c r="G117" s="30">
        <v>1.0000000000000001E-5</v>
      </c>
      <c r="H117" s="30">
        <v>1E-3</v>
      </c>
      <c r="I117" s="215">
        <v>1.0000000000000001E-5</v>
      </c>
      <c r="J117" s="215"/>
      <c r="K117" s="30">
        <v>1.0000000000000001E-5</v>
      </c>
      <c r="L117" s="34">
        <v>1.0000000000000001E-5</v>
      </c>
      <c r="M117" s="32">
        <v>1.0000000000000001E-5</v>
      </c>
      <c r="N117" s="30">
        <v>1.0000000000000001E-5</v>
      </c>
      <c r="O117" s="30">
        <v>1.9599999999999999E-2</v>
      </c>
      <c r="P117" s="225">
        <v>1.0000000000000001E-5</v>
      </c>
      <c r="Q117" s="215"/>
      <c r="R117" s="30">
        <v>1.0000000000000001E-5</v>
      </c>
      <c r="S117" s="34">
        <v>1.0000000000000001E-5</v>
      </c>
    </row>
    <row r="118" spans="5:19">
      <c r="E118" s="45" t="s">
        <v>4</v>
      </c>
      <c r="F118" s="32">
        <v>1.4200000000000001E-2</v>
      </c>
      <c r="G118" s="30">
        <v>1.499E-2</v>
      </c>
      <c r="H118" s="30">
        <v>1.0000000000000001E-5</v>
      </c>
      <c r="I118" s="215">
        <v>7.4368000000000004E-2</v>
      </c>
      <c r="J118" s="215"/>
      <c r="K118" s="215"/>
      <c r="L118" s="216"/>
      <c r="M118" s="32">
        <v>4.1799999999999997E-2</v>
      </c>
      <c r="N118" s="30">
        <v>1E-3</v>
      </c>
      <c r="O118" s="30">
        <v>0.49580000000000002</v>
      </c>
      <c r="P118" s="30">
        <v>9.7199999999999999E-4</v>
      </c>
      <c r="Q118" s="215">
        <v>8.0000000000000002E-3</v>
      </c>
      <c r="R118" s="215">
        <v>0.32100000000000001</v>
      </c>
      <c r="S118" s="216"/>
    </row>
    <row r="119" spans="5:19">
      <c r="E119" s="45" t="s">
        <v>5</v>
      </c>
      <c r="F119" s="32">
        <v>1.0000000000000001E-5</v>
      </c>
      <c r="G119" s="30">
        <v>9.7300000000000002E-4</v>
      </c>
      <c r="H119" s="30">
        <v>1.0000000000000001E-5</v>
      </c>
      <c r="I119" s="215">
        <v>1.78E-2</v>
      </c>
      <c r="J119" s="215"/>
      <c r="K119" s="215">
        <v>2E-3</v>
      </c>
      <c r="L119" s="216"/>
      <c r="M119" s="32">
        <v>1.588E-3</v>
      </c>
      <c r="N119" s="30">
        <v>1.0000000000000001E-5</v>
      </c>
      <c r="O119" s="30">
        <v>6.3920000000000001E-3</v>
      </c>
      <c r="P119" s="30">
        <v>9.8999999999999999E-4</v>
      </c>
      <c r="Q119" s="30">
        <v>1E-3</v>
      </c>
      <c r="R119" s="215"/>
      <c r="S119" s="216"/>
    </row>
    <row r="120" spans="5:19">
      <c r="E120" s="46" t="s">
        <v>6</v>
      </c>
      <c r="F120" s="37">
        <v>1.0000000000000001E-5</v>
      </c>
      <c r="G120" s="36">
        <v>1.0000000000000001E-5</v>
      </c>
      <c r="H120" s="36">
        <v>9.8999999999999999E-4</v>
      </c>
      <c r="I120" s="217"/>
      <c r="J120" s="217">
        <v>1E-3</v>
      </c>
      <c r="K120" s="217"/>
      <c r="L120" s="218">
        <v>1E-3</v>
      </c>
      <c r="M120" s="224"/>
      <c r="N120" s="36">
        <v>1.0000000000000001E-5</v>
      </c>
      <c r="O120" s="36">
        <v>1.0000000000000001E-5</v>
      </c>
      <c r="P120" s="36">
        <v>1.0000000000000001E-5</v>
      </c>
      <c r="Q120" s="36">
        <v>1.0000000000000001E-5</v>
      </c>
      <c r="R120" s="217">
        <v>0.38300000000000001</v>
      </c>
      <c r="S120" s="218">
        <v>1.0000000000000001E-5</v>
      </c>
    </row>
    <row r="121" spans="5:19">
      <c r="E121" s="44" t="s">
        <v>7</v>
      </c>
      <c r="F121" s="11">
        <v>1.0000000000000001E-5</v>
      </c>
      <c r="G121" s="12">
        <v>1.0000000000000001E-5</v>
      </c>
      <c r="H121" s="12">
        <v>1E-3</v>
      </c>
      <c r="I121" s="12">
        <v>1.0000000000000001E-5</v>
      </c>
      <c r="J121" s="12">
        <v>1.0000000000000001E-5</v>
      </c>
      <c r="K121" s="12">
        <v>1.0000000000000001E-5</v>
      </c>
      <c r="L121" s="13">
        <v>1.0000000000000001E-5</v>
      </c>
      <c r="M121" s="11">
        <v>1.0000000000000001E-5</v>
      </c>
      <c r="N121" s="12">
        <v>1.0000000000000001E-5</v>
      </c>
      <c r="O121" s="12">
        <v>1.0000000000000001E-5</v>
      </c>
      <c r="P121" s="12">
        <v>1.0000000000000001E-5</v>
      </c>
      <c r="Q121" s="12">
        <v>1.0000000000000001E-5</v>
      </c>
      <c r="R121" s="12">
        <v>1.0000000000000001E-5</v>
      </c>
      <c r="S121" s="13">
        <v>1.0000000000000001E-5</v>
      </c>
    </row>
    <row r="122" spans="5:19">
      <c r="E122" s="45" t="s">
        <v>8</v>
      </c>
      <c r="F122" s="14">
        <v>1.0000000000000001E-5</v>
      </c>
      <c r="G122" s="15">
        <v>1.0000000000000001E-5</v>
      </c>
      <c r="H122" s="15">
        <v>1.0000000000000001E-5</v>
      </c>
      <c r="I122" s="219"/>
      <c r="J122" s="219"/>
      <c r="K122" s="15">
        <v>1.0000000000000001E-5</v>
      </c>
      <c r="L122" s="16">
        <v>1.0000000000000001E-5</v>
      </c>
      <c r="M122" s="14">
        <v>1.0000000000000001E-5</v>
      </c>
      <c r="N122" s="15">
        <v>1.0000000000000001E-5</v>
      </c>
      <c r="O122" s="15">
        <v>9.7000000000000005E-4</v>
      </c>
      <c r="P122" s="15">
        <v>1.0000000000000001E-5</v>
      </c>
      <c r="Q122" s="15">
        <v>1E-3</v>
      </c>
      <c r="R122" s="15">
        <v>1.0000000000000001E-5</v>
      </c>
      <c r="S122" s="16">
        <v>1.0000000000000001E-5</v>
      </c>
    </row>
    <row r="123" spans="5:19">
      <c r="E123" s="45" t="s">
        <v>9</v>
      </c>
      <c r="F123" s="14">
        <v>1E-3</v>
      </c>
      <c r="G123" s="15">
        <v>1.0000000000000001E-5</v>
      </c>
      <c r="H123" s="15">
        <v>3.0000000000000001E-3</v>
      </c>
      <c r="I123" s="15">
        <v>1.0000000000000001E-5</v>
      </c>
      <c r="J123" s="15">
        <v>1E-3</v>
      </c>
      <c r="K123" s="15">
        <v>9.9299999999999996E-4</v>
      </c>
      <c r="L123" s="16">
        <v>2.5999999999999999E-3</v>
      </c>
      <c r="M123" s="14">
        <v>1.0000000000000001E-5</v>
      </c>
      <c r="N123" s="15">
        <v>9.8999999999999999E-4</v>
      </c>
      <c r="O123" s="15">
        <v>1.0000000000000001E-5</v>
      </c>
      <c r="P123" s="15">
        <v>4.6796999999999998E-2</v>
      </c>
      <c r="Q123" s="15">
        <v>1.0000000000000001E-5</v>
      </c>
      <c r="R123" s="15">
        <v>1.0000000000000001E-5</v>
      </c>
      <c r="S123" s="16">
        <v>1.6E-2</v>
      </c>
    </row>
    <row r="124" spans="5:19">
      <c r="E124" s="45" t="s">
        <v>10</v>
      </c>
      <c r="F124" s="14">
        <v>1.0000000000000001E-5</v>
      </c>
      <c r="G124" s="15">
        <v>1.0000000000000001E-5</v>
      </c>
      <c r="H124" s="15">
        <v>3.9799999999999899E-4</v>
      </c>
      <c r="I124" s="226">
        <v>1.0000000000000001E-5</v>
      </c>
      <c r="J124" s="219"/>
      <c r="K124" s="15">
        <v>1E-3</v>
      </c>
      <c r="L124" s="16">
        <v>1.0000000000000001E-5</v>
      </c>
      <c r="M124" s="14">
        <v>1.0000000000000001E-5</v>
      </c>
      <c r="N124" s="15">
        <v>1.0000000000000001E-5</v>
      </c>
      <c r="O124" s="15">
        <v>1E-3</v>
      </c>
      <c r="P124" s="219"/>
      <c r="Q124" s="219"/>
      <c r="R124" s="15">
        <v>1.0000000000000001E-5</v>
      </c>
      <c r="S124" s="16">
        <v>1.0000000000000001E-5</v>
      </c>
    </row>
    <row r="125" spans="5:19">
      <c r="E125" s="45" t="s">
        <v>11</v>
      </c>
      <c r="F125" s="14">
        <v>3.7999999999999999E-2</v>
      </c>
      <c r="G125" s="15">
        <v>3.4849999999999998E-3</v>
      </c>
      <c r="H125" s="15">
        <v>0.123</v>
      </c>
      <c r="I125" s="15">
        <v>1.098E-3</v>
      </c>
      <c r="J125" s="219"/>
      <c r="K125" s="219">
        <v>0.40899999999999997</v>
      </c>
      <c r="L125" s="221"/>
      <c r="M125" s="14">
        <v>9.8999999999999999E-4</v>
      </c>
      <c r="N125" s="15">
        <v>1E-3</v>
      </c>
      <c r="O125" s="15">
        <v>1.0000000000000001E-5</v>
      </c>
      <c r="P125" s="219">
        <v>0.35169699999999998</v>
      </c>
      <c r="Q125" s="219"/>
      <c r="R125" s="219">
        <v>1E-3</v>
      </c>
      <c r="S125" s="221">
        <v>6.4000000000000001E-2</v>
      </c>
    </row>
    <row r="126" spans="5:19">
      <c r="E126" s="45" t="s">
        <v>12</v>
      </c>
      <c r="F126" s="14">
        <v>3.0000000000000001E-3</v>
      </c>
      <c r="G126" s="15">
        <v>1.0000000000000001E-5</v>
      </c>
      <c r="H126" s="15">
        <v>2.3860000000000001E-3</v>
      </c>
      <c r="I126" s="15">
        <v>9.6000000000000002E-4</v>
      </c>
      <c r="J126" s="15">
        <v>1E-3</v>
      </c>
      <c r="K126" s="219">
        <v>0.84340000000000004</v>
      </c>
      <c r="L126" s="221">
        <v>0.501</v>
      </c>
      <c r="M126" s="14">
        <v>1.0000000000000001E-5</v>
      </c>
      <c r="N126" s="15">
        <v>1.0000000000000001E-5</v>
      </c>
      <c r="O126" s="15">
        <v>1.0000000000000001E-5</v>
      </c>
      <c r="P126" s="219">
        <v>2.35E-2</v>
      </c>
      <c r="Q126" s="219"/>
      <c r="R126" s="219">
        <v>1.0000000000000001E-5</v>
      </c>
      <c r="S126" s="221"/>
    </row>
    <row r="127" spans="5:19">
      <c r="E127" s="46" t="s">
        <v>13</v>
      </c>
      <c r="F127" s="223"/>
      <c r="G127" s="18">
        <v>1.0000000000000001E-5</v>
      </c>
      <c r="H127" s="18">
        <v>1.0000000000000001E-5</v>
      </c>
      <c r="I127" s="18">
        <v>1.0000000000000001E-5</v>
      </c>
      <c r="J127" s="18">
        <v>1.0000000000000001E-5</v>
      </c>
      <c r="K127" s="220">
        <v>1E-3</v>
      </c>
      <c r="L127" s="222"/>
      <c r="M127" s="17">
        <v>1.0000000000000001E-5</v>
      </c>
      <c r="N127" s="18">
        <v>1.0000000000000001E-5</v>
      </c>
      <c r="O127" s="18">
        <v>1.0000000000000001E-5</v>
      </c>
      <c r="P127" s="220">
        <v>1.1999999999999999E-3</v>
      </c>
      <c r="Q127" s="220"/>
      <c r="R127" s="220"/>
      <c r="S127" s="222"/>
    </row>
    <row r="129" spans="5:19">
      <c r="E129" s="40" t="s">
        <v>21</v>
      </c>
      <c r="F129" s="41" t="s">
        <v>0</v>
      </c>
      <c r="G129" s="42" t="s">
        <v>1</v>
      </c>
      <c r="H129" s="42" t="s">
        <v>2</v>
      </c>
      <c r="I129" s="42" t="s">
        <v>3</v>
      </c>
      <c r="J129" s="42" t="s">
        <v>4</v>
      </c>
      <c r="K129" s="42" t="s">
        <v>5</v>
      </c>
      <c r="L129" s="43" t="s">
        <v>6</v>
      </c>
      <c r="M129" s="41" t="s">
        <v>7</v>
      </c>
      <c r="N129" s="42" t="s">
        <v>8</v>
      </c>
      <c r="O129" s="42" t="s">
        <v>9</v>
      </c>
      <c r="P129" s="42" t="s">
        <v>10</v>
      </c>
      <c r="Q129" s="42" t="s">
        <v>11</v>
      </c>
      <c r="R129" s="42" t="s">
        <v>12</v>
      </c>
      <c r="S129" s="43" t="s">
        <v>13</v>
      </c>
    </row>
    <row r="130" spans="5:19">
      <c r="E130" s="44" t="s">
        <v>0</v>
      </c>
      <c r="F130" s="29">
        <v>1.0000000000000001E-5</v>
      </c>
      <c r="G130" s="31">
        <v>1.0000000000000001E-5</v>
      </c>
      <c r="H130" s="31">
        <v>1E-3</v>
      </c>
      <c r="I130" s="31">
        <v>1.0000000000000001E-5</v>
      </c>
      <c r="J130" s="31">
        <v>1.9E-3</v>
      </c>
      <c r="K130" s="31">
        <v>1E-3</v>
      </c>
      <c r="L130" s="33">
        <v>1.0000000000000001E-5</v>
      </c>
      <c r="M130" s="29">
        <v>1.0000000000000001E-5</v>
      </c>
      <c r="N130" s="31">
        <v>1.0000000000000001E-5</v>
      </c>
      <c r="O130" s="31">
        <v>3.0000000000000001E-3</v>
      </c>
      <c r="P130" s="31">
        <v>1.0000000000000001E-5</v>
      </c>
      <c r="Q130" s="31">
        <v>1.0000000000000001E-5</v>
      </c>
      <c r="R130" s="31">
        <v>1.0000000000000001E-5</v>
      </c>
      <c r="S130" s="33">
        <v>1.0000000000000001E-5</v>
      </c>
    </row>
    <row r="131" spans="5:19">
      <c r="E131" s="45" t="s">
        <v>1</v>
      </c>
      <c r="F131" s="32">
        <v>1.0000000000000001E-5</v>
      </c>
      <c r="G131" s="30">
        <v>1.0000000000000001E-5</v>
      </c>
      <c r="H131" s="30">
        <v>1E-3</v>
      </c>
      <c r="I131" s="30">
        <v>9.6999999999999897E-4</v>
      </c>
      <c r="J131" s="30">
        <v>2E-3</v>
      </c>
      <c r="K131" s="30">
        <v>1E-3</v>
      </c>
      <c r="L131" s="34">
        <v>5.73999999999994E-4</v>
      </c>
      <c r="M131" s="32">
        <v>1.0000000000000001E-5</v>
      </c>
      <c r="N131" s="30">
        <v>1.0000000000000001E-5</v>
      </c>
      <c r="O131" s="30">
        <v>1.0000000000000001E-5</v>
      </c>
      <c r="P131" s="215"/>
      <c r="Q131" s="215"/>
      <c r="R131" s="30">
        <v>1.0000000000000001E-5</v>
      </c>
      <c r="S131" s="34">
        <v>1.0000000000000001E-5</v>
      </c>
    </row>
    <row r="132" spans="5:19">
      <c r="E132" s="45" t="s">
        <v>2</v>
      </c>
      <c r="F132" s="32">
        <v>5.0000000000000001E-3</v>
      </c>
      <c r="G132" s="30">
        <v>7.8890000000000002E-2</v>
      </c>
      <c r="H132" s="30">
        <v>9.7999999999999997E-4</v>
      </c>
      <c r="I132" s="30">
        <v>5.0478999999999899E-2</v>
      </c>
      <c r="J132" s="30">
        <v>1.0000000000000001E-5</v>
      </c>
      <c r="K132" s="30">
        <v>1E-3</v>
      </c>
      <c r="L132" s="34">
        <v>0.32219999999999999</v>
      </c>
      <c r="M132" s="32">
        <v>0.14299999999999999</v>
      </c>
      <c r="N132" s="30">
        <v>7.2999999999999801E-3</v>
      </c>
      <c r="O132" s="30">
        <v>0.1739</v>
      </c>
      <c r="P132" s="30">
        <v>1.0999999999999901E-3</v>
      </c>
      <c r="Q132" s="30">
        <v>1.6000000000000001E-3</v>
      </c>
      <c r="R132" s="30">
        <v>0.24149999999999899</v>
      </c>
      <c r="S132" s="34">
        <v>6.9000000000000006E-2</v>
      </c>
    </row>
    <row r="133" spans="5:19">
      <c r="E133" s="45" t="s">
        <v>3</v>
      </c>
      <c r="F133" s="32">
        <v>1.0000000000000001E-5</v>
      </c>
      <c r="G133" s="30">
        <v>1.0000000000000001E-5</v>
      </c>
      <c r="H133" s="30">
        <v>1E-3</v>
      </c>
      <c r="I133" s="215">
        <v>1.0000000000000001E-5</v>
      </c>
      <c r="J133" s="215"/>
      <c r="K133" s="30">
        <v>1.0000000000000001E-5</v>
      </c>
      <c r="L133" s="34">
        <v>1.0000000000000001E-5</v>
      </c>
      <c r="M133" s="32">
        <v>1.0000000000000001E-5</v>
      </c>
      <c r="N133" s="30">
        <v>1.0000000000000001E-5</v>
      </c>
      <c r="O133" s="30">
        <v>5.6799999999999899E-2</v>
      </c>
      <c r="P133" s="225">
        <v>9.8899999999999899E-4</v>
      </c>
      <c r="Q133" s="215"/>
      <c r="R133" s="30">
        <v>1E-3</v>
      </c>
      <c r="S133" s="34">
        <v>1E-3</v>
      </c>
    </row>
    <row r="134" spans="5:19">
      <c r="E134" s="45" t="s">
        <v>4</v>
      </c>
      <c r="F134" s="32">
        <v>0.24199999999999999</v>
      </c>
      <c r="G134" s="30">
        <v>0.25509100000000001</v>
      </c>
      <c r="H134" s="30">
        <v>1E-3</v>
      </c>
      <c r="I134" s="215">
        <v>0.10059999999999999</v>
      </c>
      <c r="J134" s="215"/>
      <c r="K134" s="215"/>
      <c r="L134" s="216"/>
      <c r="M134" s="32">
        <v>0.2792</v>
      </c>
      <c r="N134" s="30">
        <v>0.17979999999999999</v>
      </c>
      <c r="O134" s="30">
        <v>0.56720000000000004</v>
      </c>
      <c r="P134" s="30">
        <v>3.0793999999999901E-2</v>
      </c>
      <c r="Q134" s="215">
        <v>8.0000000000000002E-3</v>
      </c>
      <c r="R134" s="215">
        <v>0.32100000000000001</v>
      </c>
      <c r="S134" s="216"/>
    </row>
    <row r="135" spans="5:19">
      <c r="E135" s="45" t="s">
        <v>5</v>
      </c>
      <c r="F135" s="32">
        <v>1E-3</v>
      </c>
      <c r="G135" s="30">
        <v>2E-3</v>
      </c>
      <c r="H135" s="30">
        <v>9.8999999999999999E-4</v>
      </c>
      <c r="I135" s="215">
        <v>0.17199999999999999</v>
      </c>
      <c r="J135" s="215"/>
      <c r="K135" s="215">
        <v>2E-3</v>
      </c>
      <c r="L135" s="216"/>
      <c r="M135" s="32">
        <v>0.144199999999999</v>
      </c>
      <c r="N135" s="30">
        <v>9.8999999999999999E-4</v>
      </c>
      <c r="O135" s="30">
        <v>8.0599999999999894E-2</v>
      </c>
      <c r="P135" s="30">
        <v>1.9529999999999899E-3</v>
      </c>
      <c r="Q135" s="30">
        <v>1E-3</v>
      </c>
      <c r="R135" s="215"/>
      <c r="S135" s="216"/>
    </row>
    <row r="136" spans="5:19">
      <c r="E136" s="46" t="s">
        <v>6</v>
      </c>
      <c r="F136" s="37">
        <v>1.0000000000000001E-5</v>
      </c>
      <c r="G136" s="36">
        <v>1.0000000000000001E-5</v>
      </c>
      <c r="H136" s="36">
        <v>1E-3</v>
      </c>
      <c r="I136" s="217"/>
      <c r="J136" s="217">
        <v>1E-3</v>
      </c>
      <c r="K136" s="217"/>
      <c r="L136" s="218">
        <v>1E-3</v>
      </c>
      <c r="M136" s="224"/>
      <c r="N136" s="36">
        <v>1.0000000000000001E-5</v>
      </c>
      <c r="O136" s="36">
        <v>0.13339999999999899</v>
      </c>
      <c r="P136" s="36">
        <v>9.7999999999999997E-4</v>
      </c>
      <c r="Q136" s="36">
        <v>9.8999999999999999E-4</v>
      </c>
      <c r="R136" s="217">
        <v>0.38300000000000001</v>
      </c>
      <c r="S136" s="218">
        <v>1.0000000000000001E-5</v>
      </c>
    </row>
    <row r="137" spans="5:19">
      <c r="E137" s="44" t="s">
        <v>7</v>
      </c>
      <c r="F137" s="11">
        <v>1.0000000000000001E-5</v>
      </c>
      <c r="G137" s="12">
        <v>1.0000000000000001E-5</v>
      </c>
      <c r="H137" s="12">
        <v>3.0000000000000001E-3</v>
      </c>
      <c r="I137" s="12">
        <v>1.0000000000000001E-5</v>
      </c>
      <c r="J137" s="12">
        <v>9.8999999999999999E-4</v>
      </c>
      <c r="K137" s="12">
        <v>1.0000000000000001E-5</v>
      </c>
      <c r="L137" s="13">
        <v>1.0000000000000001E-5</v>
      </c>
      <c r="M137" s="11">
        <v>1.0000000000000001E-5</v>
      </c>
      <c r="N137" s="12">
        <v>1.0000000000000001E-5</v>
      </c>
      <c r="O137" s="12">
        <v>1E-3</v>
      </c>
      <c r="P137" s="12">
        <v>1.0000000000000001E-5</v>
      </c>
      <c r="Q137" s="12">
        <v>9.8999999999999999E-4</v>
      </c>
      <c r="R137" s="12">
        <v>9.8999999999999999E-4</v>
      </c>
      <c r="S137" s="13">
        <v>1.0000000000000001E-5</v>
      </c>
    </row>
    <row r="138" spans="5:19">
      <c r="E138" s="45" t="s">
        <v>8</v>
      </c>
      <c r="F138" s="14">
        <v>1.0000000000000001E-5</v>
      </c>
      <c r="G138" s="15">
        <v>1.0000000000000001E-5</v>
      </c>
      <c r="H138" s="15">
        <v>9.7000000000000005E-4</v>
      </c>
      <c r="I138" s="219"/>
      <c r="J138" s="219"/>
      <c r="K138" s="15">
        <v>1.0000000000000001E-5</v>
      </c>
      <c r="L138" s="16">
        <v>1.0000000000000001E-5</v>
      </c>
      <c r="M138" s="14">
        <v>1.0000000000000001E-5</v>
      </c>
      <c r="N138" s="15">
        <v>1.0000000000000001E-5</v>
      </c>
      <c r="O138" s="15">
        <v>1E-3</v>
      </c>
      <c r="P138" s="15">
        <v>9.6000000000000002E-4</v>
      </c>
      <c r="Q138" s="15">
        <v>2E-3</v>
      </c>
      <c r="R138" s="15">
        <v>1E-3</v>
      </c>
      <c r="S138" s="16">
        <v>9.3000000000000005E-4</v>
      </c>
    </row>
    <row r="139" spans="5:19">
      <c r="E139" s="45" t="s">
        <v>9</v>
      </c>
      <c r="F139" s="14">
        <v>0.112897</v>
      </c>
      <c r="G139" s="15">
        <v>2.55199999999999E-3</v>
      </c>
      <c r="H139" s="15">
        <v>9.2999999999999999E-2</v>
      </c>
      <c r="I139" s="15">
        <v>9.7999999999999997E-4</v>
      </c>
      <c r="J139" s="15">
        <v>1E-3</v>
      </c>
      <c r="K139" s="15">
        <v>1.9E-3</v>
      </c>
      <c r="L139" s="16">
        <v>3.7199999999999997E-2</v>
      </c>
      <c r="M139" s="14">
        <v>1.98E-3</v>
      </c>
      <c r="N139" s="15">
        <v>3.5699999999999898E-2</v>
      </c>
      <c r="O139" s="15">
        <v>9.8999999999999999E-4</v>
      </c>
      <c r="P139" s="15">
        <v>0.126</v>
      </c>
      <c r="Q139" s="15">
        <v>1.0000000000000001E-5</v>
      </c>
      <c r="R139" s="15">
        <v>1.0000000000000001E-5</v>
      </c>
      <c r="S139" s="16">
        <v>2.35E-2</v>
      </c>
    </row>
    <row r="140" spans="5:19">
      <c r="E140" s="45" t="s">
        <v>10</v>
      </c>
      <c r="F140" s="14">
        <v>1.0000000000000001E-5</v>
      </c>
      <c r="G140" s="15">
        <v>1.91999999999989E-4</v>
      </c>
      <c r="H140" s="15">
        <v>1.9839999999999901E-3</v>
      </c>
      <c r="I140" s="226">
        <v>1.0000000000000001E-5</v>
      </c>
      <c r="J140" s="219"/>
      <c r="K140" s="15">
        <v>1E-3</v>
      </c>
      <c r="L140" s="16">
        <v>9.8999999999999999E-4</v>
      </c>
      <c r="M140" s="14">
        <v>1.0000000000000001E-5</v>
      </c>
      <c r="N140" s="15">
        <v>1.0000000000000001E-5</v>
      </c>
      <c r="O140" s="15">
        <v>1E-3</v>
      </c>
      <c r="P140" s="219"/>
      <c r="Q140" s="219"/>
      <c r="R140" s="15">
        <v>1.0000000000000001E-5</v>
      </c>
      <c r="S140" s="16">
        <v>1.0599999999999701E-4</v>
      </c>
    </row>
    <row r="141" spans="5:19">
      <c r="E141" s="45" t="s">
        <v>11</v>
      </c>
      <c r="F141" s="14">
        <v>0.29698999999999998</v>
      </c>
      <c r="G141" s="15">
        <v>0.196995</v>
      </c>
      <c r="H141" s="15">
        <v>0.1953</v>
      </c>
      <c r="I141" s="15">
        <v>0.13669999999999899</v>
      </c>
      <c r="J141" s="219"/>
      <c r="K141" s="219">
        <v>0.40899999999999997</v>
      </c>
      <c r="L141" s="221"/>
      <c r="M141" s="14">
        <v>0.1966</v>
      </c>
      <c r="N141" s="15">
        <v>0.215</v>
      </c>
      <c r="O141" s="15">
        <v>1E-3</v>
      </c>
      <c r="P141" s="219">
        <v>0.67820000000000003</v>
      </c>
      <c r="Q141" s="219"/>
      <c r="R141" s="219">
        <v>1E-3</v>
      </c>
      <c r="S141" s="221">
        <v>6.4000000000000001E-2</v>
      </c>
    </row>
    <row r="142" spans="5:19">
      <c r="E142" s="45" t="s">
        <v>12</v>
      </c>
      <c r="F142" s="14">
        <v>0.16200000000000001</v>
      </c>
      <c r="G142" s="15">
        <v>9.8999999999999999E-4</v>
      </c>
      <c r="H142" s="15">
        <v>1.5699999999999902E-2</v>
      </c>
      <c r="I142" s="15">
        <v>1E-3</v>
      </c>
      <c r="J142" s="15">
        <v>1E-3</v>
      </c>
      <c r="K142" s="219">
        <v>1.73219999999999</v>
      </c>
      <c r="L142" s="221">
        <v>0.501</v>
      </c>
      <c r="M142" s="14">
        <v>1E-3</v>
      </c>
      <c r="N142" s="15">
        <v>2E-3</v>
      </c>
      <c r="O142" s="15">
        <v>1.0000000000000001E-5</v>
      </c>
      <c r="P142" s="219">
        <v>0.2525</v>
      </c>
      <c r="Q142" s="219"/>
      <c r="R142" s="219">
        <v>1.005E-3</v>
      </c>
      <c r="S142" s="221"/>
    </row>
    <row r="143" spans="5:19">
      <c r="E143" s="46" t="s">
        <v>13</v>
      </c>
      <c r="F143" s="223"/>
      <c r="G143" s="18">
        <v>1.0000000000000001E-5</v>
      </c>
      <c r="H143" s="18">
        <v>1.0000000000000001E-5</v>
      </c>
      <c r="I143" s="18">
        <v>9.7000000000000005E-4</v>
      </c>
      <c r="J143" s="18">
        <v>2.0599999999999899E-4</v>
      </c>
      <c r="K143" s="220">
        <v>1E-3</v>
      </c>
      <c r="L143" s="222"/>
      <c r="M143" s="17">
        <v>1.0000000000000001E-5</v>
      </c>
      <c r="N143" s="18">
        <v>1.0000000000000001E-5</v>
      </c>
      <c r="O143" s="18">
        <v>1E-3</v>
      </c>
      <c r="P143" s="220">
        <v>1.5999999999999901E-3</v>
      </c>
      <c r="Q143" s="220"/>
      <c r="R143" s="220"/>
      <c r="S143" s="222"/>
    </row>
    <row r="145" spans="5:19">
      <c r="E145" s="40" t="s">
        <v>21</v>
      </c>
      <c r="F145" s="41" t="s">
        <v>0</v>
      </c>
      <c r="G145" s="42" t="s">
        <v>1</v>
      </c>
      <c r="H145" s="42" t="s">
        <v>2</v>
      </c>
      <c r="I145" s="42" t="s">
        <v>3</v>
      </c>
      <c r="J145" s="42" t="s">
        <v>4</v>
      </c>
      <c r="K145" s="42" t="s">
        <v>5</v>
      </c>
      <c r="L145" s="43" t="s">
        <v>6</v>
      </c>
      <c r="M145" s="41" t="s">
        <v>7</v>
      </c>
      <c r="N145" s="42" t="s">
        <v>8</v>
      </c>
      <c r="O145" s="42" t="s">
        <v>9</v>
      </c>
      <c r="P145" s="42" t="s">
        <v>10</v>
      </c>
      <c r="Q145" s="42" t="s">
        <v>11</v>
      </c>
      <c r="R145" s="42" t="s">
        <v>12</v>
      </c>
      <c r="S145" s="43" t="s">
        <v>13</v>
      </c>
    </row>
    <row r="146" spans="5:19">
      <c r="E146" s="44" t="s">
        <v>0</v>
      </c>
      <c r="F146" s="29">
        <v>1.0000000000000001E-5</v>
      </c>
      <c r="G146" s="31">
        <v>9.8999999999999999E-4</v>
      </c>
      <c r="H146" s="31">
        <v>1E-3</v>
      </c>
      <c r="I146" s="31">
        <v>9.8999999999999999E-4</v>
      </c>
      <c r="J146" s="31">
        <v>3.0000000000000001E-3</v>
      </c>
      <c r="K146" s="31">
        <v>1E-3</v>
      </c>
      <c r="L146" s="33">
        <v>9.7999999999999997E-4</v>
      </c>
      <c r="M146" s="29">
        <v>1E-3</v>
      </c>
      <c r="N146" s="31">
        <v>1E-3</v>
      </c>
      <c r="O146" s="31">
        <v>9.8000000000000004E-2</v>
      </c>
      <c r="P146" s="31">
        <v>1E-3</v>
      </c>
      <c r="Q146" s="31">
        <v>1.99E-3</v>
      </c>
      <c r="R146" s="31">
        <v>9.8999999999999999E-4</v>
      </c>
      <c r="S146" s="33">
        <v>9.7999999999999997E-4</v>
      </c>
    </row>
    <row r="147" spans="5:19">
      <c r="E147" s="45" t="s">
        <v>1</v>
      </c>
      <c r="F147" s="32">
        <v>9.8999999999999999E-4</v>
      </c>
      <c r="G147" s="30">
        <v>1.0000000000000001E-5</v>
      </c>
      <c r="H147" s="30">
        <v>1E-3</v>
      </c>
      <c r="I147" s="30">
        <v>1E-3</v>
      </c>
      <c r="J147" s="30">
        <v>3.0000000000000001E-3</v>
      </c>
      <c r="K147" s="30">
        <v>2E-3</v>
      </c>
      <c r="L147" s="34">
        <v>1E-3</v>
      </c>
      <c r="M147" s="32">
        <v>9.7000000000000005E-4</v>
      </c>
      <c r="N147" s="30">
        <v>9.5E-4</v>
      </c>
      <c r="O147" s="30">
        <v>1E-3</v>
      </c>
      <c r="P147" s="215"/>
      <c r="Q147" s="215"/>
      <c r="R147" s="30">
        <v>9.8999999999999999E-4</v>
      </c>
      <c r="S147" s="34">
        <v>1.0000000000000001E-5</v>
      </c>
    </row>
    <row r="148" spans="5:19">
      <c r="E148" s="45" t="s">
        <v>2</v>
      </c>
      <c r="F148" s="32">
        <v>0.189</v>
      </c>
      <c r="G148" s="30">
        <v>0.27549000000000001</v>
      </c>
      <c r="H148" s="30">
        <v>1E-3</v>
      </c>
      <c r="I148" s="30">
        <v>0.17</v>
      </c>
      <c r="J148" s="30">
        <v>1.0000000000000001E-5</v>
      </c>
      <c r="K148" s="30">
        <v>1E-3</v>
      </c>
      <c r="L148" s="34">
        <v>0.46949999999999997</v>
      </c>
      <c r="M148" s="32">
        <v>0.40348000000000001</v>
      </c>
      <c r="N148" s="30">
        <v>0.161995</v>
      </c>
      <c r="O148" s="30">
        <v>0.40649999999999997</v>
      </c>
      <c r="P148" s="30">
        <v>5.9950000000000003E-3</v>
      </c>
      <c r="Q148" s="30">
        <v>2E-3</v>
      </c>
      <c r="R148" s="30">
        <v>0.51249999999999996</v>
      </c>
      <c r="S148" s="34">
        <v>0.12848999999999999</v>
      </c>
    </row>
    <row r="149" spans="5:19">
      <c r="E149" s="45" t="s">
        <v>3</v>
      </c>
      <c r="F149" s="32">
        <v>1E-3</v>
      </c>
      <c r="G149" s="30">
        <v>1E-3</v>
      </c>
      <c r="H149" s="30">
        <v>1E-3</v>
      </c>
      <c r="I149" s="215">
        <v>1.0000000000000001E-5</v>
      </c>
      <c r="J149" s="215"/>
      <c r="K149" s="30">
        <v>9.8999999999999999E-4</v>
      </c>
      <c r="L149" s="34">
        <v>9.8999999999999999E-4</v>
      </c>
      <c r="M149" s="32">
        <v>9.8999999999999999E-4</v>
      </c>
      <c r="N149" s="30">
        <v>1E-3</v>
      </c>
      <c r="O149" s="30">
        <v>9.4E-2</v>
      </c>
      <c r="P149" s="225">
        <v>1E-3</v>
      </c>
      <c r="Q149" s="215"/>
      <c r="R149" s="30">
        <v>1E-3</v>
      </c>
      <c r="S149" s="34">
        <v>1E-3</v>
      </c>
    </row>
    <row r="150" spans="5:19">
      <c r="E150" s="45" t="s">
        <v>4</v>
      </c>
      <c r="F150" s="32">
        <v>0.54400000000000004</v>
      </c>
      <c r="G150" s="30">
        <v>0.6905</v>
      </c>
      <c r="H150" s="30">
        <v>1.4E-2</v>
      </c>
      <c r="I150" s="215">
        <v>0.21199999999999999</v>
      </c>
      <c r="J150" s="215"/>
      <c r="K150" s="215"/>
      <c r="L150" s="216"/>
      <c r="M150" s="32">
        <v>0.70799999999999996</v>
      </c>
      <c r="N150" s="30">
        <v>0.54600000000000004</v>
      </c>
      <c r="O150" s="30">
        <v>0.61199999999999999</v>
      </c>
      <c r="P150" s="30">
        <v>0.23350000000000001</v>
      </c>
      <c r="Q150" s="215">
        <v>8.0000000000000002E-3</v>
      </c>
      <c r="R150" s="215">
        <v>0.32100000000000001</v>
      </c>
      <c r="S150" s="216"/>
    </row>
    <row r="151" spans="5:19">
      <c r="E151" s="45" t="s">
        <v>5</v>
      </c>
      <c r="F151" s="32">
        <v>2E-3</v>
      </c>
      <c r="G151" s="30">
        <v>0.112985</v>
      </c>
      <c r="H151" s="30">
        <v>1E-3</v>
      </c>
      <c r="I151" s="215">
        <v>0.20649999999999999</v>
      </c>
      <c r="J151" s="215"/>
      <c r="K151" s="215">
        <v>2E-3</v>
      </c>
      <c r="L151" s="216"/>
      <c r="M151" s="32">
        <v>0.43099999999999999</v>
      </c>
      <c r="N151" s="30">
        <v>1.5994999999999999E-2</v>
      </c>
      <c r="O151" s="30">
        <v>0.221</v>
      </c>
      <c r="P151" s="30">
        <v>2.97E-3</v>
      </c>
      <c r="Q151" s="30">
        <v>2E-3</v>
      </c>
      <c r="R151" s="215"/>
      <c r="S151" s="216"/>
    </row>
    <row r="152" spans="5:19">
      <c r="E152" s="46" t="s">
        <v>6</v>
      </c>
      <c r="F152" s="37">
        <v>9.8999999999999999E-4</v>
      </c>
      <c r="G152" s="36">
        <v>9.8999999999999999E-4</v>
      </c>
      <c r="H152" s="36">
        <v>1E-3</v>
      </c>
      <c r="I152" s="217"/>
      <c r="J152" s="217">
        <v>1E-3</v>
      </c>
      <c r="K152" s="217"/>
      <c r="L152" s="218">
        <v>1E-3</v>
      </c>
      <c r="M152" s="224"/>
      <c r="N152" s="36">
        <v>9.7000000000000005E-4</v>
      </c>
      <c r="O152" s="36">
        <v>0.34899999999999998</v>
      </c>
      <c r="P152" s="36">
        <v>1E-3</v>
      </c>
      <c r="Q152" s="36">
        <v>1E-3</v>
      </c>
      <c r="R152" s="217">
        <v>0.38300000000000001</v>
      </c>
      <c r="S152" s="218">
        <v>1.0000000000000001E-5</v>
      </c>
    </row>
    <row r="153" spans="5:19">
      <c r="E153" s="44" t="s">
        <v>7</v>
      </c>
      <c r="F153" s="11">
        <v>1E-3</v>
      </c>
      <c r="G153" s="12">
        <v>1E-3</v>
      </c>
      <c r="H153" s="12">
        <v>6.8000000000000005E-2</v>
      </c>
      <c r="I153" s="12">
        <v>9.8999999999999999E-4</v>
      </c>
      <c r="J153" s="12">
        <v>2E-3</v>
      </c>
      <c r="K153" s="12">
        <v>9.8999999999999999E-4</v>
      </c>
      <c r="L153" s="13">
        <v>9.8999999999999999E-4</v>
      </c>
      <c r="M153" s="11">
        <v>1.0000000000000001E-5</v>
      </c>
      <c r="N153" s="12">
        <v>9.8999999999999999E-4</v>
      </c>
      <c r="O153" s="12">
        <v>1E-3</v>
      </c>
      <c r="P153" s="12">
        <v>1E-3</v>
      </c>
      <c r="Q153" s="12">
        <v>2E-3</v>
      </c>
      <c r="R153" s="12">
        <v>1E-3</v>
      </c>
      <c r="S153" s="13">
        <v>9.7999999999999997E-4</v>
      </c>
    </row>
    <row r="154" spans="5:19">
      <c r="E154" s="45" t="s">
        <v>8</v>
      </c>
      <c r="F154" s="14">
        <v>9.7999999999999997E-4</v>
      </c>
      <c r="G154" s="15">
        <v>9.5E-4</v>
      </c>
      <c r="H154" s="15">
        <v>1E-3</v>
      </c>
      <c r="I154" s="219"/>
      <c r="J154" s="219"/>
      <c r="K154" s="15">
        <v>9.8999999999999999E-4</v>
      </c>
      <c r="L154" s="16">
        <v>9.4499999999999998E-4</v>
      </c>
      <c r="M154" s="14">
        <v>9.8999999999999999E-4</v>
      </c>
      <c r="N154" s="15">
        <v>1.0000000000000001E-5</v>
      </c>
      <c r="O154" s="15">
        <v>1E-3</v>
      </c>
      <c r="P154" s="15">
        <v>1E-3</v>
      </c>
      <c r="Q154" s="15">
        <v>3.0000000000000001E-3</v>
      </c>
      <c r="R154" s="15">
        <v>1E-3</v>
      </c>
      <c r="S154" s="16">
        <v>1E-3</v>
      </c>
    </row>
    <row r="155" spans="5:19">
      <c r="E155" s="45" t="s">
        <v>9</v>
      </c>
      <c r="F155" s="14">
        <v>0.36</v>
      </c>
      <c r="G155" s="15">
        <v>0.12</v>
      </c>
      <c r="H155" s="15">
        <v>0.499</v>
      </c>
      <c r="I155" s="15">
        <v>1E-3</v>
      </c>
      <c r="J155" s="15">
        <v>2E-3</v>
      </c>
      <c r="K155" s="15">
        <v>0.1065</v>
      </c>
      <c r="L155" s="16">
        <v>8.6999999999999994E-2</v>
      </c>
      <c r="M155" s="14">
        <v>0.129995</v>
      </c>
      <c r="N155" s="15">
        <v>0.2215</v>
      </c>
      <c r="O155" s="15">
        <v>1E-3</v>
      </c>
      <c r="P155" s="15">
        <v>0.312</v>
      </c>
      <c r="Q155" s="15">
        <v>1E-3</v>
      </c>
      <c r="R155" s="15">
        <v>1E-3</v>
      </c>
      <c r="S155" s="16">
        <v>2.9499999999999998E-2</v>
      </c>
    </row>
    <row r="156" spans="5:19">
      <c r="E156" s="45" t="s">
        <v>10</v>
      </c>
      <c r="F156" s="14">
        <v>9.8999999999999999E-4</v>
      </c>
      <c r="G156" s="15">
        <v>9.9799999999999993E-3</v>
      </c>
      <c r="H156" s="15">
        <v>6.0000000000000001E-3</v>
      </c>
      <c r="I156" s="226">
        <v>1E-3</v>
      </c>
      <c r="J156" s="219"/>
      <c r="K156" s="15">
        <v>1E-3</v>
      </c>
      <c r="L156" s="16">
        <v>1E-3</v>
      </c>
      <c r="M156" s="14">
        <v>9.9500000000000001E-4</v>
      </c>
      <c r="N156" s="15">
        <v>1E-3</v>
      </c>
      <c r="O156" s="15">
        <v>1E-3</v>
      </c>
      <c r="P156" s="219"/>
      <c r="Q156" s="219"/>
      <c r="R156" s="15">
        <v>9.7999999999999997E-4</v>
      </c>
      <c r="S156" s="16">
        <v>9.8999999999999999E-4</v>
      </c>
    </row>
    <row r="157" spans="5:19">
      <c r="E157" s="45" t="s">
        <v>11</v>
      </c>
      <c r="F157" s="14">
        <v>0.94</v>
      </c>
      <c r="G157" s="15">
        <v>0.44499499999999997</v>
      </c>
      <c r="H157" s="15">
        <v>0.57999999999999996</v>
      </c>
      <c r="I157" s="15">
        <v>0.47649999999999998</v>
      </c>
      <c r="J157" s="219"/>
      <c r="K157" s="219">
        <v>0.40899999999999997</v>
      </c>
      <c r="L157" s="221"/>
      <c r="M157" s="14">
        <v>0.53700000000000003</v>
      </c>
      <c r="N157" s="15">
        <v>0.64600000000000002</v>
      </c>
      <c r="O157" s="15">
        <v>5.0000000000000001E-3</v>
      </c>
      <c r="P157" s="219">
        <v>1.7504999999999999</v>
      </c>
      <c r="Q157" s="219"/>
      <c r="R157" s="219">
        <v>1E-3</v>
      </c>
      <c r="S157" s="221">
        <v>6.4000000000000001E-2</v>
      </c>
    </row>
    <row r="158" spans="5:19">
      <c r="E158" s="45" t="s">
        <v>12</v>
      </c>
      <c r="F158" s="14">
        <v>0.48099999999999998</v>
      </c>
      <c r="G158" s="15">
        <v>4.9699999999999996E-3</v>
      </c>
      <c r="H158" s="15">
        <v>0.29599999999999999</v>
      </c>
      <c r="I158" s="15">
        <v>2E-3</v>
      </c>
      <c r="J158" s="15">
        <v>2E-3</v>
      </c>
      <c r="K158" s="219">
        <v>2.621</v>
      </c>
      <c r="L158" s="221">
        <v>0.501</v>
      </c>
      <c r="M158" s="14">
        <v>3.9899999999999996E-3</v>
      </c>
      <c r="N158" s="15">
        <v>2.35E-2</v>
      </c>
      <c r="O158" s="15">
        <v>1E-3</v>
      </c>
      <c r="P158" s="219">
        <v>0.67349999999999999</v>
      </c>
      <c r="Q158" s="219"/>
      <c r="R158" s="219">
        <v>2.5000000000000001E-3</v>
      </c>
      <c r="S158" s="221"/>
    </row>
    <row r="159" spans="5:19">
      <c r="E159" s="46" t="s">
        <v>13</v>
      </c>
      <c r="F159" s="223"/>
      <c r="G159" s="18">
        <v>9.7999999999999997E-4</v>
      </c>
      <c r="H159" s="18">
        <v>9.7999999999999997E-4</v>
      </c>
      <c r="I159" s="18">
        <v>1E-3</v>
      </c>
      <c r="J159" s="18">
        <v>9.8999999999999999E-4</v>
      </c>
      <c r="K159" s="220">
        <v>1E-3</v>
      </c>
      <c r="L159" s="222"/>
      <c r="M159" s="17">
        <v>9.8999999999999999E-4</v>
      </c>
      <c r="N159" s="18">
        <v>9.8499999999999998E-4</v>
      </c>
      <c r="O159" s="18">
        <v>1E-3</v>
      </c>
      <c r="P159" s="220">
        <v>2E-3</v>
      </c>
      <c r="Q159" s="220"/>
      <c r="R159" s="220"/>
      <c r="S159" s="222"/>
    </row>
    <row r="161" spans="5:19">
      <c r="E161" s="40" t="s">
        <v>21</v>
      </c>
      <c r="F161" s="41" t="s">
        <v>0</v>
      </c>
      <c r="G161" s="42" t="s">
        <v>1</v>
      </c>
      <c r="H161" s="42" t="s">
        <v>2</v>
      </c>
      <c r="I161" s="42" t="s">
        <v>3</v>
      </c>
      <c r="J161" s="42" t="s">
        <v>4</v>
      </c>
      <c r="K161" s="42" t="s">
        <v>5</v>
      </c>
      <c r="L161" s="43" t="s">
        <v>6</v>
      </c>
      <c r="M161" s="41" t="s">
        <v>7</v>
      </c>
      <c r="N161" s="42" t="s">
        <v>8</v>
      </c>
      <c r="O161" s="42" t="s">
        <v>9</v>
      </c>
      <c r="P161" s="42" t="s">
        <v>10</v>
      </c>
      <c r="Q161" s="42" t="s">
        <v>11</v>
      </c>
      <c r="R161" s="42" t="s">
        <v>12</v>
      </c>
      <c r="S161" s="43" t="s">
        <v>13</v>
      </c>
    </row>
    <row r="162" spans="5:19">
      <c r="E162" s="44" t="s">
        <v>0</v>
      </c>
      <c r="F162" s="29">
        <v>9.3000000000000005E-4</v>
      </c>
      <c r="G162" s="31">
        <v>2.99E-3</v>
      </c>
      <c r="H162" s="31">
        <v>2E-3</v>
      </c>
      <c r="I162" s="31">
        <v>2E-3</v>
      </c>
      <c r="J162" s="31">
        <v>4.0000000000000001E-3</v>
      </c>
      <c r="K162" s="31">
        <v>2E-3</v>
      </c>
      <c r="L162" s="33">
        <v>1E-3</v>
      </c>
      <c r="M162" s="29">
        <v>0.20729699999999901</v>
      </c>
      <c r="N162" s="31">
        <v>7.8999999999999904E-2</v>
      </c>
      <c r="O162" s="31">
        <v>0.42559999999999998</v>
      </c>
      <c r="P162" s="31">
        <v>1E-3</v>
      </c>
      <c r="Q162" s="31">
        <v>2E-3</v>
      </c>
      <c r="R162" s="31">
        <v>1E-3</v>
      </c>
      <c r="S162" s="33">
        <v>1E-3</v>
      </c>
    </row>
    <row r="163" spans="5:19">
      <c r="E163" s="45" t="s">
        <v>1</v>
      </c>
      <c r="F163" s="32">
        <v>1.99E-3</v>
      </c>
      <c r="G163" s="30">
        <v>9.7999999999999997E-4</v>
      </c>
      <c r="H163" s="30">
        <v>2E-3</v>
      </c>
      <c r="I163" s="30">
        <v>2E-3</v>
      </c>
      <c r="J163" s="30">
        <v>4.0000000000000001E-3</v>
      </c>
      <c r="K163" s="30">
        <v>2E-3</v>
      </c>
      <c r="L163" s="34">
        <v>2E-3</v>
      </c>
      <c r="M163" s="32">
        <v>1.98E-3</v>
      </c>
      <c r="N163" s="30">
        <v>1E-3</v>
      </c>
      <c r="O163" s="30">
        <v>3.0000000000000001E-3</v>
      </c>
      <c r="P163" s="215"/>
      <c r="Q163" s="215"/>
      <c r="R163" s="30">
        <v>1E-3</v>
      </c>
      <c r="S163" s="34">
        <v>1E-3</v>
      </c>
    </row>
    <row r="164" spans="5:19">
      <c r="E164" s="45" t="s">
        <v>2</v>
      </c>
      <c r="F164" s="32">
        <v>0.73319999999999896</v>
      </c>
      <c r="G164" s="30">
        <v>0.863679999999999</v>
      </c>
      <c r="H164" s="30">
        <v>3.0000000000000001E-3</v>
      </c>
      <c r="I164" s="30">
        <v>0.73008799999999896</v>
      </c>
      <c r="J164" s="30">
        <v>1E-3</v>
      </c>
      <c r="K164" s="30">
        <v>9.4767999999999894E-2</v>
      </c>
      <c r="L164" s="34">
        <v>0.6069</v>
      </c>
      <c r="M164" s="32">
        <v>0.95050000000000001</v>
      </c>
      <c r="N164" s="30">
        <v>0.65869999999999995</v>
      </c>
      <c r="O164" s="30">
        <v>0.88819999999999999</v>
      </c>
      <c r="P164" s="30">
        <v>0.181399</v>
      </c>
      <c r="Q164" s="30">
        <v>4.0000000000000001E-3</v>
      </c>
      <c r="R164" s="30">
        <v>0.57509999999999994</v>
      </c>
      <c r="S164" s="34">
        <v>0.26799999999999902</v>
      </c>
    </row>
    <row r="165" spans="5:19">
      <c r="E165" s="45" t="s">
        <v>3</v>
      </c>
      <c r="F165" s="32">
        <v>2.4494999999999999E-2</v>
      </c>
      <c r="G165" s="30">
        <v>8.5000000000000006E-2</v>
      </c>
      <c r="H165" s="30">
        <v>2E-3</v>
      </c>
      <c r="I165" s="215">
        <v>1.0000000000000001E-5</v>
      </c>
      <c r="J165" s="215"/>
      <c r="K165" s="30">
        <v>1E-3</v>
      </c>
      <c r="L165" s="34">
        <v>1E-3</v>
      </c>
      <c r="M165" s="32">
        <v>5.2591999999999903E-2</v>
      </c>
      <c r="N165" s="30">
        <v>0.16539999999999999</v>
      </c>
      <c r="O165" s="30">
        <v>0.45679999999999998</v>
      </c>
      <c r="P165" s="225">
        <v>1.09799999999999E-3</v>
      </c>
      <c r="Q165" s="215"/>
      <c r="R165" s="30">
        <v>2E-3</v>
      </c>
      <c r="S165" s="34">
        <v>2.2499999999999999E-2</v>
      </c>
    </row>
    <row r="166" spans="5:19">
      <c r="E166" s="45" t="s">
        <v>4</v>
      </c>
      <c r="F166" s="32">
        <v>1.3914</v>
      </c>
      <c r="G166" s="30">
        <v>1.3677999999999999</v>
      </c>
      <c r="H166" s="30">
        <v>0.55979999999999897</v>
      </c>
      <c r="I166" s="215">
        <v>0.60059999999999902</v>
      </c>
      <c r="J166" s="215"/>
      <c r="K166" s="215"/>
      <c r="L166" s="216"/>
      <c r="M166" s="32">
        <v>1.4383999999999999</v>
      </c>
      <c r="N166" s="30">
        <v>1.09109999999999</v>
      </c>
      <c r="O166" s="30">
        <v>2.0283999999999902</v>
      </c>
      <c r="P166" s="30">
        <v>0.60069999999999901</v>
      </c>
      <c r="Q166" s="215">
        <v>8.0000000000000002E-3</v>
      </c>
      <c r="R166" s="215">
        <v>0.32100000000000001</v>
      </c>
      <c r="S166" s="216"/>
    </row>
    <row r="167" spans="5:19">
      <c r="E167" s="45" t="s">
        <v>5</v>
      </c>
      <c r="F167" s="32">
        <v>0.17699000000000001</v>
      </c>
      <c r="G167" s="30">
        <v>0.42849999999999999</v>
      </c>
      <c r="H167" s="30">
        <v>2E-3</v>
      </c>
      <c r="I167" s="215">
        <v>1.05459999999999</v>
      </c>
      <c r="J167" s="215"/>
      <c r="K167" s="215">
        <v>2E-3</v>
      </c>
      <c r="L167" s="216"/>
      <c r="M167" s="32">
        <v>0.79419999999999902</v>
      </c>
      <c r="N167" s="30">
        <v>0.163997</v>
      </c>
      <c r="O167" s="30">
        <v>1.58459999999999</v>
      </c>
      <c r="P167" s="30">
        <v>0.128299999999999</v>
      </c>
      <c r="Q167" s="30">
        <v>3.0000000000000001E-3</v>
      </c>
      <c r="R167" s="215"/>
      <c r="S167" s="216"/>
    </row>
    <row r="168" spans="5:19">
      <c r="E168" s="46" t="s">
        <v>6</v>
      </c>
      <c r="F168" s="37">
        <v>1E-3</v>
      </c>
      <c r="G168" s="36">
        <v>1E-3</v>
      </c>
      <c r="H168" s="36">
        <v>2E-3</v>
      </c>
      <c r="I168" s="217"/>
      <c r="J168" s="217">
        <v>1E-3</v>
      </c>
      <c r="K168" s="217"/>
      <c r="L168" s="218">
        <v>1E-3</v>
      </c>
      <c r="M168" s="224"/>
      <c r="N168" s="36">
        <v>1E-3</v>
      </c>
      <c r="O168" s="36">
        <v>0.90679999999999905</v>
      </c>
      <c r="P168" s="36">
        <v>1.99E-3</v>
      </c>
      <c r="Q168" s="36">
        <v>1.99E-3</v>
      </c>
      <c r="R168" s="217">
        <v>0.38300000000000001</v>
      </c>
      <c r="S168" s="218">
        <v>1.0000000000000001E-5</v>
      </c>
    </row>
    <row r="169" spans="5:19">
      <c r="E169" s="44" t="s">
        <v>7</v>
      </c>
      <c r="F169" s="11">
        <v>0.14829999999999999</v>
      </c>
      <c r="G169" s="12">
        <v>4.5987999999999897E-2</v>
      </c>
      <c r="H169" s="12">
        <v>0.48119999999999902</v>
      </c>
      <c r="I169" s="12">
        <v>1E-3</v>
      </c>
      <c r="J169" s="12">
        <v>2.9970000000000001E-3</v>
      </c>
      <c r="K169" s="12">
        <v>1E-3</v>
      </c>
      <c r="L169" s="13">
        <v>1E-3</v>
      </c>
      <c r="M169" s="11">
        <v>1.0000000000000001E-5</v>
      </c>
      <c r="N169" s="12">
        <v>2.98E-3</v>
      </c>
      <c r="O169" s="12">
        <v>2E-3</v>
      </c>
      <c r="P169" s="12">
        <v>2E-3</v>
      </c>
      <c r="Q169" s="12">
        <v>4.0000000000000001E-3</v>
      </c>
      <c r="R169" s="12">
        <v>2E-3</v>
      </c>
      <c r="S169" s="13">
        <v>1E-3</v>
      </c>
    </row>
    <row r="170" spans="5:19">
      <c r="E170" s="45" t="s">
        <v>8</v>
      </c>
      <c r="F170" s="14">
        <v>2E-3</v>
      </c>
      <c r="G170" s="15">
        <v>1E-3</v>
      </c>
      <c r="H170" s="15">
        <v>3.0000000000000001E-3</v>
      </c>
      <c r="I170" s="219"/>
      <c r="J170" s="219"/>
      <c r="K170" s="15">
        <v>1E-3</v>
      </c>
      <c r="L170" s="16">
        <v>1E-3</v>
      </c>
      <c r="M170" s="14">
        <v>1E-3</v>
      </c>
      <c r="N170" s="15">
        <v>9.7999999999999997E-4</v>
      </c>
      <c r="O170" s="15">
        <v>2E-3</v>
      </c>
      <c r="P170" s="15">
        <v>2E-3</v>
      </c>
      <c r="Q170" s="15">
        <v>4.0000000000000001E-3</v>
      </c>
      <c r="R170" s="15">
        <v>2E-3</v>
      </c>
      <c r="S170" s="16">
        <v>2E-3</v>
      </c>
    </row>
    <row r="171" spans="5:19">
      <c r="E171" s="45" t="s">
        <v>9</v>
      </c>
      <c r="F171" s="14">
        <v>1.0679810000000001</v>
      </c>
      <c r="G171" s="15">
        <v>0.38500000000000001</v>
      </c>
      <c r="H171" s="15">
        <v>1.2529999999999999</v>
      </c>
      <c r="I171" s="15">
        <v>3.0000000000000001E-3</v>
      </c>
      <c r="J171" s="15">
        <v>3.0000000000000001E-3</v>
      </c>
      <c r="K171" s="15">
        <v>0.17419999999999999</v>
      </c>
      <c r="L171" s="16">
        <v>0.1308</v>
      </c>
      <c r="M171" s="14">
        <v>0.53709999999999902</v>
      </c>
      <c r="N171" s="15">
        <v>0.75089999999999901</v>
      </c>
      <c r="O171" s="15">
        <v>3.0000000000000001E-3</v>
      </c>
      <c r="P171" s="15">
        <v>0.72319999999999995</v>
      </c>
      <c r="Q171" s="15">
        <v>1E-3</v>
      </c>
      <c r="R171" s="15">
        <v>1E-3</v>
      </c>
      <c r="S171" s="16">
        <v>5.0999999999999997E-2</v>
      </c>
    </row>
    <row r="172" spans="5:19">
      <c r="E172" s="45" t="s">
        <v>10</v>
      </c>
      <c r="F172" s="14">
        <v>4.4999999999999998E-2</v>
      </c>
      <c r="G172" s="15">
        <v>0.15879199999999899</v>
      </c>
      <c r="H172" s="15">
        <v>0.134799999999999</v>
      </c>
      <c r="I172" s="226">
        <v>1E-3</v>
      </c>
      <c r="J172" s="219"/>
      <c r="K172" s="15">
        <v>2E-3</v>
      </c>
      <c r="L172" s="16">
        <v>2E-3</v>
      </c>
      <c r="M172" s="14">
        <v>1.30999999999999E-2</v>
      </c>
      <c r="N172" s="15">
        <v>3.4999999999999802E-2</v>
      </c>
      <c r="O172" s="15">
        <v>2E-3</v>
      </c>
      <c r="P172" s="219"/>
      <c r="Q172" s="219"/>
      <c r="R172" s="15">
        <v>1E-3</v>
      </c>
      <c r="S172" s="16">
        <v>2E-3</v>
      </c>
    </row>
    <row r="173" spans="5:19">
      <c r="E173" s="45" t="s">
        <v>11</v>
      </c>
      <c r="F173" s="14">
        <v>1.665</v>
      </c>
      <c r="G173" s="15">
        <v>1.1014999999999999</v>
      </c>
      <c r="H173" s="15">
        <v>1.3711</v>
      </c>
      <c r="I173" s="15">
        <v>0.93019999999999903</v>
      </c>
      <c r="J173" s="219"/>
      <c r="K173" s="219">
        <v>0.40899999999999997</v>
      </c>
      <c r="L173" s="221"/>
      <c r="M173" s="14">
        <v>1.2696000000000001</v>
      </c>
      <c r="N173" s="15">
        <v>1.3380000000000001</v>
      </c>
      <c r="O173" s="15">
        <v>0.753</v>
      </c>
      <c r="P173" s="219">
        <v>2.3458000000000001</v>
      </c>
      <c r="Q173" s="219"/>
      <c r="R173" s="219">
        <v>1E-3</v>
      </c>
      <c r="S173" s="221">
        <v>6.4000000000000001E-2</v>
      </c>
    </row>
    <row r="174" spans="5:19">
      <c r="E174" s="45" t="s">
        <v>12</v>
      </c>
      <c r="F174" s="14">
        <v>1.24799999999999</v>
      </c>
      <c r="G174" s="15">
        <v>0.16600000000000001</v>
      </c>
      <c r="H174" s="15">
        <v>0.56689999999999996</v>
      </c>
      <c r="I174" s="15">
        <v>3.9967999999999997E-2</v>
      </c>
      <c r="J174" s="15">
        <v>2E-3</v>
      </c>
      <c r="K174" s="219">
        <v>3.5097999999999998</v>
      </c>
      <c r="L174" s="221">
        <v>0.501</v>
      </c>
      <c r="M174" s="14">
        <v>0.18679399999999899</v>
      </c>
      <c r="N174" s="15">
        <v>0.283390999999999</v>
      </c>
      <c r="O174" s="15">
        <v>2E-3</v>
      </c>
      <c r="P174" s="219">
        <v>0.9345</v>
      </c>
      <c r="Q174" s="219"/>
      <c r="R174" s="219">
        <v>1.2E-2</v>
      </c>
      <c r="S174" s="221"/>
    </row>
    <row r="175" spans="5:19">
      <c r="E175" s="46" t="s">
        <v>13</v>
      </c>
      <c r="F175" s="223"/>
      <c r="G175" s="18">
        <v>1.9779999999999902E-3</v>
      </c>
      <c r="H175" s="18">
        <v>1E-3</v>
      </c>
      <c r="I175" s="18">
        <v>2E-3</v>
      </c>
      <c r="J175" s="18">
        <v>9.8999999999999999E-4</v>
      </c>
      <c r="K175" s="220">
        <v>1E-3</v>
      </c>
      <c r="L175" s="222"/>
      <c r="M175" s="17">
        <v>1E-3</v>
      </c>
      <c r="N175" s="18">
        <v>1E-3</v>
      </c>
      <c r="O175" s="18">
        <v>1E-3</v>
      </c>
      <c r="P175" s="220">
        <v>2.3999999999999998E-3</v>
      </c>
      <c r="Q175" s="220"/>
      <c r="R175" s="220"/>
      <c r="S175" s="222"/>
    </row>
    <row r="177" spans="5:19">
      <c r="E177" s="40" t="s">
        <v>21</v>
      </c>
      <c r="F177" s="41" t="s">
        <v>0</v>
      </c>
      <c r="G177" s="42" t="s">
        <v>1</v>
      </c>
      <c r="H177" s="42" t="s">
        <v>2</v>
      </c>
      <c r="I177" s="42" t="s">
        <v>3</v>
      </c>
      <c r="J177" s="42" t="s">
        <v>4</v>
      </c>
      <c r="K177" s="42" t="s">
        <v>5</v>
      </c>
      <c r="L177" s="43" t="s">
        <v>6</v>
      </c>
      <c r="M177" s="41" t="s">
        <v>7</v>
      </c>
      <c r="N177" s="42" t="s">
        <v>8</v>
      </c>
      <c r="O177" s="42" t="s">
        <v>9</v>
      </c>
      <c r="P177" s="42" t="s">
        <v>10</v>
      </c>
      <c r="Q177" s="42" t="s">
        <v>11</v>
      </c>
      <c r="R177" s="42" t="s">
        <v>12</v>
      </c>
      <c r="S177" s="43" t="s">
        <v>13</v>
      </c>
    </row>
    <row r="178" spans="5:19">
      <c r="E178" s="44" t="s">
        <v>0</v>
      </c>
      <c r="F178" s="29">
        <v>2.97299999999999E-3</v>
      </c>
      <c r="G178" s="31">
        <v>0.58150000000000102</v>
      </c>
      <c r="H178" s="31">
        <v>0.51649999999999996</v>
      </c>
      <c r="I178" s="31">
        <v>0.46119300000000002</v>
      </c>
      <c r="J178" s="31">
        <v>6.0000000000000001E-3</v>
      </c>
      <c r="K178" s="31">
        <v>3.0000000000000001E-3</v>
      </c>
      <c r="L178" s="33">
        <v>2E-3</v>
      </c>
      <c r="M178" s="29">
        <v>1.4994999999999901</v>
      </c>
      <c r="N178" s="31">
        <v>0.83758200000000005</v>
      </c>
      <c r="O178" s="31">
        <v>2.2555999999999998</v>
      </c>
      <c r="P178" s="31">
        <v>0.13250000000000001</v>
      </c>
      <c r="Q178" s="31">
        <v>3.0999999999999999E-3</v>
      </c>
      <c r="R178" s="31">
        <v>3.9919999999999999E-3</v>
      </c>
      <c r="S178" s="33">
        <v>5.39399999999997E-3</v>
      </c>
    </row>
    <row r="179" spans="5:19">
      <c r="E179" s="45" t="s">
        <v>1</v>
      </c>
      <c r="F179" s="32">
        <v>0.30099300000000001</v>
      </c>
      <c r="G179" s="30">
        <v>4.0000000000000001E-3</v>
      </c>
      <c r="H179" s="30">
        <v>0.20300000000000001</v>
      </c>
      <c r="I179" s="30">
        <v>5.5482000000000101E-2</v>
      </c>
      <c r="J179" s="30">
        <v>6.0000000000000001E-3</v>
      </c>
      <c r="K179" s="30">
        <v>3.0000000000000001E-3</v>
      </c>
      <c r="L179" s="34">
        <v>3.0000000000000001E-3</v>
      </c>
      <c r="M179" s="32">
        <v>0.40300000000000002</v>
      </c>
      <c r="N179" s="30">
        <v>0.37018799999999902</v>
      </c>
      <c r="O179" s="30">
        <v>0.58479999999999999</v>
      </c>
      <c r="P179" s="215"/>
      <c r="Q179" s="215"/>
      <c r="R179" s="30">
        <v>2E-3</v>
      </c>
      <c r="S179" s="34">
        <v>2E-3</v>
      </c>
    </row>
    <row r="180" spans="5:19">
      <c r="E180" s="45" t="s">
        <v>2</v>
      </c>
      <c r="F180" s="32">
        <v>2.4691999999999998</v>
      </c>
      <c r="G180" s="30">
        <v>2.8259970000000001</v>
      </c>
      <c r="H180" s="30">
        <v>0.69299999999999995</v>
      </c>
      <c r="I180" s="30">
        <v>1.2997999999999901</v>
      </c>
      <c r="J180" s="30">
        <v>4.6399999999999997E-2</v>
      </c>
      <c r="K180" s="30">
        <v>0.42520000000000002</v>
      </c>
      <c r="L180" s="34">
        <v>3.54578999999999</v>
      </c>
      <c r="M180" s="32">
        <v>2.6915</v>
      </c>
      <c r="N180" s="30">
        <v>2.60869999999999</v>
      </c>
      <c r="O180" s="30">
        <v>3.0409000000000002</v>
      </c>
      <c r="P180" s="30">
        <v>0.94169999999999998</v>
      </c>
      <c r="Q180" s="30">
        <v>7.0000000000000001E-3</v>
      </c>
      <c r="R180" s="30">
        <v>0.95439999999999903</v>
      </c>
      <c r="S180" s="34">
        <v>2.0708000000000002</v>
      </c>
    </row>
    <row r="181" spans="5:19">
      <c r="E181" s="45" t="s">
        <v>3</v>
      </c>
      <c r="F181" s="32">
        <v>0.83199999999999996</v>
      </c>
      <c r="G181" s="30">
        <v>0.80700000000000005</v>
      </c>
      <c r="H181" s="30">
        <v>3.0000000000000001E-3</v>
      </c>
      <c r="I181" s="215">
        <v>1.0000000000000001E-5</v>
      </c>
      <c r="J181" s="215"/>
      <c r="K181" s="30">
        <v>3.0000000000000001E-3</v>
      </c>
      <c r="L181" s="34">
        <v>0.2094</v>
      </c>
      <c r="M181" s="32">
        <v>1.0052000000000001</v>
      </c>
      <c r="N181" s="30">
        <v>1.0727979999999999</v>
      </c>
      <c r="O181" s="30">
        <v>0.8196</v>
      </c>
      <c r="P181" s="225">
        <v>2E-3</v>
      </c>
      <c r="Q181" s="215"/>
      <c r="R181" s="30">
        <v>0.233400000000001</v>
      </c>
      <c r="S181" s="34">
        <v>0.24349999999999999</v>
      </c>
    </row>
    <row r="182" spans="5:19">
      <c r="E182" s="45" t="s">
        <v>4</v>
      </c>
      <c r="F182" s="32">
        <v>3.2012</v>
      </c>
      <c r="G182" s="30">
        <v>3.2677999999999998</v>
      </c>
      <c r="H182" s="30">
        <v>1.5133999999999901</v>
      </c>
      <c r="I182" s="215">
        <v>1.2766</v>
      </c>
      <c r="J182" s="215"/>
      <c r="K182" s="215"/>
      <c r="L182" s="216"/>
      <c r="M182" s="32">
        <v>3.4268000000000001</v>
      </c>
      <c r="N182" s="30">
        <v>2.6322999999999999</v>
      </c>
      <c r="O182" s="30">
        <v>3.4384000000000001</v>
      </c>
      <c r="P182" s="30">
        <v>2.0188999999999901</v>
      </c>
      <c r="Q182" s="215">
        <v>8.0000000000000002E-3</v>
      </c>
      <c r="R182" s="215">
        <v>0.32100000000000001</v>
      </c>
      <c r="S182" s="216"/>
    </row>
    <row r="183" spans="5:19">
      <c r="E183" s="45" t="s">
        <v>5</v>
      </c>
      <c r="F183" s="32">
        <v>1.45</v>
      </c>
      <c r="G183" s="30">
        <v>1.5988929999999999</v>
      </c>
      <c r="H183" s="30">
        <v>0.22060000000000099</v>
      </c>
      <c r="I183" s="215">
        <v>1.2284999999999999</v>
      </c>
      <c r="J183" s="215"/>
      <c r="K183" s="215">
        <v>2E-3</v>
      </c>
      <c r="L183" s="216"/>
      <c r="M183" s="32">
        <v>2.2185999999999999</v>
      </c>
      <c r="N183" s="30">
        <v>0.84000000000000097</v>
      </c>
      <c r="O183" s="30">
        <v>3.5764</v>
      </c>
      <c r="P183" s="30">
        <v>0.50889899999999999</v>
      </c>
      <c r="Q183" s="30">
        <v>4.5999999999999999E-3</v>
      </c>
      <c r="R183" s="215"/>
      <c r="S183" s="216"/>
    </row>
    <row r="184" spans="5:19">
      <c r="E184" s="46" t="s">
        <v>6</v>
      </c>
      <c r="F184" s="37">
        <v>0.238591</v>
      </c>
      <c r="G184" s="36">
        <v>0.108392</v>
      </c>
      <c r="H184" s="36">
        <v>0.23229999999999901</v>
      </c>
      <c r="I184" s="217"/>
      <c r="J184" s="217">
        <v>1E-3</v>
      </c>
      <c r="K184" s="217"/>
      <c r="L184" s="218">
        <v>1E-3</v>
      </c>
      <c r="M184" s="224"/>
      <c r="N184" s="36">
        <v>0.28079599999999999</v>
      </c>
      <c r="O184" s="36">
        <v>1.5711999999999999</v>
      </c>
      <c r="P184" s="36">
        <v>7.0900000000000005E-2</v>
      </c>
      <c r="Q184" s="36">
        <v>2.8E-3</v>
      </c>
      <c r="R184" s="217">
        <v>0.38300000000000001</v>
      </c>
      <c r="S184" s="218">
        <v>1.0000000000000001E-5</v>
      </c>
    </row>
    <row r="185" spans="5:19">
      <c r="E185" s="44" t="s">
        <v>7</v>
      </c>
      <c r="F185" s="11">
        <v>1.2961</v>
      </c>
      <c r="G185" s="12">
        <v>0.74998400000000098</v>
      </c>
      <c r="H185" s="12">
        <v>2.6318000000000001</v>
      </c>
      <c r="I185" s="12">
        <v>0.112</v>
      </c>
      <c r="J185" s="12">
        <v>4.0000000000000001E-3</v>
      </c>
      <c r="K185" s="12">
        <v>3.0000000000000001E-3</v>
      </c>
      <c r="L185" s="13">
        <v>2E-3</v>
      </c>
      <c r="M185" s="11">
        <v>2E-3</v>
      </c>
      <c r="N185" s="12">
        <v>0.58299999999999996</v>
      </c>
      <c r="O185" s="12">
        <v>0.34439999999999998</v>
      </c>
      <c r="P185" s="12">
        <v>0.56120000000000003</v>
      </c>
      <c r="Q185" s="12">
        <v>7.1999999999999998E-3</v>
      </c>
      <c r="R185" s="12">
        <v>3.80000000000001E-3</v>
      </c>
      <c r="S185" s="13">
        <v>5.0000000000000001E-3</v>
      </c>
    </row>
    <row r="186" spans="5:19">
      <c r="E186" s="45" t="s">
        <v>8</v>
      </c>
      <c r="F186" s="14">
        <v>0.57519999999999905</v>
      </c>
      <c r="G186" s="15">
        <v>0.39600000000000002</v>
      </c>
      <c r="H186" s="15">
        <v>0.96620000000000295</v>
      </c>
      <c r="I186" s="219"/>
      <c r="J186" s="219"/>
      <c r="K186" s="15">
        <v>2E-3</v>
      </c>
      <c r="L186" s="16">
        <v>1.98E-3</v>
      </c>
      <c r="M186" s="14">
        <v>0.28499999999999998</v>
      </c>
      <c r="N186" s="15">
        <v>3.0000000000000001E-3</v>
      </c>
      <c r="O186" s="15">
        <v>4.5400000000000502E-2</v>
      </c>
      <c r="P186" s="15">
        <v>0.129</v>
      </c>
      <c r="Q186" s="15">
        <v>6.0000000000000001E-3</v>
      </c>
      <c r="R186" s="15">
        <v>3.0000000000000001E-3</v>
      </c>
      <c r="S186" s="16">
        <v>3.0000000000000001E-3</v>
      </c>
    </row>
    <row r="187" spans="5:19">
      <c r="E187" s="45" t="s">
        <v>9</v>
      </c>
      <c r="F187" s="14">
        <v>3.3954</v>
      </c>
      <c r="G187" s="15">
        <v>1.7342</v>
      </c>
      <c r="H187" s="15">
        <v>2.2290000000000001</v>
      </c>
      <c r="I187" s="15">
        <v>0.80150000000000099</v>
      </c>
      <c r="J187" s="15">
        <v>5.0000000000000001E-3</v>
      </c>
      <c r="K187" s="15">
        <v>0.74409999999999998</v>
      </c>
      <c r="L187" s="16">
        <v>0.52299799999999996</v>
      </c>
      <c r="M187" s="14">
        <v>2.1304999999999898</v>
      </c>
      <c r="N187" s="15">
        <v>2.4209999999999998</v>
      </c>
      <c r="O187" s="15">
        <v>0.38300000000000001</v>
      </c>
      <c r="P187" s="15">
        <v>2.0428999999999999</v>
      </c>
      <c r="Q187" s="15">
        <v>2E-3</v>
      </c>
      <c r="R187" s="15">
        <v>7.2999999999999995E-2</v>
      </c>
      <c r="S187" s="16">
        <v>8.7495000000000003E-2</v>
      </c>
    </row>
    <row r="188" spans="5:19">
      <c r="E188" s="45" t="s">
        <v>10</v>
      </c>
      <c r="F188" s="14">
        <v>1.123</v>
      </c>
      <c r="G188" s="15">
        <v>1.1362000000000001</v>
      </c>
      <c r="H188" s="15">
        <v>1.85</v>
      </c>
      <c r="I188" s="226">
        <v>2.98E-3</v>
      </c>
      <c r="J188" s="219"/>
      <c r="K188" s="15">
        <v>3.8600000000000398E-2</v>
      </c>
      <c r="L188" s="16">
        <v>0.23299999999999901</v>
      </c>
      <c r="M188" s="14">
        <v>0.68549300000000002</v>
      </c>
      <c r="N188" s="15">
        <v>0.76598999999999995</v>
      </c>
      <c r="O188" s="15">
        <v>3.5999999999999999E-3</v>
      </c>
      <c r="P188" s="219"/>
      <c r="Q188" s="219"/>
      <c r="R188" s="15">
        <v>3.0000000000000001E-3</v>
      </c>
      <c r="S188" s="16">
        <v>0.65130000000000099</v>
      </c>
    </row>
    <row r="189" spans="5:19">
      <c r="E189" s="45" t="s">
        <v>11</v>
      </c>
      <c r="F189" s="14">
        <v>3.028</v>
      </c>
      <c r="G189" s="15">
        <v>2.4419900000000001</v>
      </c>
      <c r="H189" s="15">
        <v>4.0011999999999999</v>
      </c>
      <c r="I189" s="15">
        <v>1.7937999999999901</v>
      </c>
      <c r="J189" s="219"/>
      <c r="K189" s="219">
        <v>0.40899999999999997</v>
      </c>
      <c r="L189" s="221"/>
      <c r="M189" s="14">
        <v>3.1679999999999899</v>
      </c>
      <c r="N189" s="15">
        <v>3.1890000000000001</v>
      </c>
      <c r="O189" s="15">
        <v>2.0419999999999998</v>
      </c>
      <c r="P189" s="219">
        <v>3.5255969999999901</v>
      </c>
      <c r="Q189" s="219"/>
      <c r="R189" s="219">
        <v>1E-3</v>
      </c>
      <c r="S189" s="221">
        <v>6.4000000000000001E-2</v>
      </c>
    </row>
    <row r="190" spans="5:19">
      <c r="E190" s="45" t="s">
        <v>12</v>
      </c>
      <c r="F190" s="14">
        <v>2.3769999999999998</v>
      </c>
      <c r="G190" s="15">
        <v>0.80249300000000001</v>
      </c>
      <c r="H190" s="15">
        <v>2.0474999999999999</v>
      </c>
      <c r="I190" s="15">
        <v>0.296184</v>
      </c>
      <c r="J190" s="15">
        <v>4.0000000000000001E-3</v>
      </c>
      <c r="K190" s="219">
        <v>4.3986000000000001</v>
      </c>
      <c r="L190" s="221">
        <v>0.501</v>
      </c>
      <c r="M190" s="14">
        <v>0.98639999999999906</v>
      </c>
      <c r="N190" s="15">
        <v>1.0894999999999999</v>
      </c>
      <c r="O190" s="15">
        <v>6.8700000000000205E-2</v>
      </c>
      <c r="P190" s="219">
        <v>3.835</v>
      </c>
      <c r="Q190" s="219"/>
      <c r="R190" s="219">
        <v>0.105</v>
      </c>
      <c r="S190" s="221"/>
    </row>
    <row r="191" spans="5:19">
      <c r="E191" s="46" t="s">
        <v>13</v>
      </c>
      <c r="F191" s="223"/>
      <c r="G191" s="18">
        <v>0.44600000000000001</v>
      </c>
      <c r="H191" s="18">
        <v>0.7036</v>
      </c>
      <c r="I191" s="18">
        <v>0.223</v>
      </c>
      <c r="J191" s="18">
        <v>2.7959999999999999E-3</v>
      </c>
      <c r="K191" s="220">
        <v>1E-3</v>
      </c>
      <c r="L191" s="222"/>
      <c r="M191" s="17">
        <v>0.22800000000000001</v>
      </c>
      <c r="N191" s="18">
        <v>0.247</v>
      </c>
      <c r="O191" s="18">
        <v>0.22289999999999999</v>
      </c>
      <c r="P191" s="220">
        <v>2.8E-3</v>
      </c>
      <c r="Q191" s="220"/>
      <c r="R191" s="220"/>
      <c r="S191" s="222"/>
    </row>
    <row r="193" spans="5:19">
      <c r="E193" s="227" t="s">
        <v>38</v>
      </c>
      <c r="F193" s="228"/>
      <c r="G193" s="228"/>
      <c r="H193" s="228"/>
      <c r="I193" s="228"/>
      <c r="J193" s="228"/>
      <c r="K193" s="228"/>
      <c r="L193" s="228"/>
      <c r="M193" s="228"/>
      <c r="N193" s="228"/>
      <c r="O193" s="228"/>
      <c r="P193" s="228"/>
      <c r="Q193" s="228"/>
      <c r="R193" s="228"/>
      <c r="S193" s="229"/>
    </row>
    <row r="195" spans="5:19">
      <c r="E195" s="40" t="s">
        <v>21</v>
      </c>
      <c r="F195" s="41" t="s">
        <v>0</v>
      </c>
      <c r="G195" s="42" t="s">
        <v>1</v>
      </c>
      <c r="H195" s="42" t="s">
        <v>2</v>
      </c>
      <c r="I195" s="42" t="s">
        <v>3</v>
      </c>
      <c r="J195" s="42" t="s">
        <v>4</v>
      </c>
      <c r="K195" s="42" t="s">
        <v>5</v>
      </c>
      <c r="L195" s="43" t="s">
        <v>6</v>
      </c>
      <c r="M195" s="41" t="s">
        <v>7</v>
      </c>
      <c r="N195" s="42" t="s">
        <v>8</v>
      </c>
      <c r="O195" s="42" t="s">
        <v>9</v>
      </c>
      <c r="P195" s="42" t="s">
        <v>10</v>
      </c>
      <c r="Q195" s="42" t="s">
        <v>11</v>
      </c>
      <c r="R195" s="42" t="s">
        <v>12</v>
      </c>
      <c r="S195" s="43" t="s">
        <v>13</v>
      </c>
    </row>
    <row r="196" spans="5:19">
      <c r="E196" s="44" t="s">
        <v>0</v>
      </c>
      <c r="F196" s="206">
        <v>9.9905462085300697E-2</v>
      </c>
      <c r="G196" s="207">
        <v>-7.2601803864568104E-2</v>
      </c>
      <c r="H196" s="207">
        <v>3.3104325729460801E-2</v>
      </c>
      <c r="I196" s="207">
        <v>-0.384545089398381</v>
      </c>
      <c r="J196" s="207">
        <v>-0.32985234713682898</v>
      </c>
      <c r="K196" s="207">
        <v>-0.15127604366056699</v>
      </c>
      <c r="L196" s="208">
        <v>-0.168260848967065</v>
      </c>
      <c r="M196" s="206">
        <v>-6.80338487428752E-2</v>
      </c>
      <c r="N196" s="207">
        <v>6.1727562713571403E-2</v>
      </c>
      <c r="O196" s="207">
        <v>-0.184205855358412</v>
      </c>
      <c r="P196" s="207">
        <v>0.36603130909763198</v>
      </c>
      <c r="Q196" s="207">
        <v>0.298722828774653</v>
      </c>
      <c r="R196" s="207">
        <v>-0.109675134137715</v>
      </c>
      <c r="S196" s="208">
        <v>8.4202653872626598E-2</v>
      </c>
    </row>
    <row r="197" spans="5:19">
      <c r="E197" s="45" t="s">
        <v>1</v>
      </c>
      <c r="F197" s="209">
        <v>-8.1173198711979894E-2</v>
      </c>
      <c r="G197" s="210">
        <v>-0.176773261280325</v>
      </c>
      <c r="H197" s="210">
        <v>-5.1934771054012504E-3</v>
      </c>
      <c r="I197" s="210">
        <v>-0.40068279512885502</v>
      </c>
      <c r="J197" s="210">
        <v>-0.25984604752915602</v>
      </c>
      <c r="K197" s="210">
        <v>-0.120545263866407</v>
      </c>
      <c r="L197" s="211">
        <v>-0.18571041586088999</v>
      </c>
      <c r="M197" s="209">
        <v>-0.132620596724013</v>
      </c>
      <c r="N197" s="210">
        <v>-4.4729627382706902E-2</v>
      </c>
      <c r="O197" s="210">
        <v>-0.205072645035279</v>
      </c>
      <c r="P197" s="210"/>
      <c r="Q197" s="210"/>
      <c r="R197" s="210">
        <v>-5.5175502387183703E-2</v>
      </c>
      <c r="S197" s="211">
        <v>2.6651717174692498E-2</v>
      </c>
    </row>
    <row r="198" spans="5:19">
      <c r="E198" s="45" t="s">
        <v>2</v>
      </c>
      <c r="F198" s="209">
        <v>3.3159195074470599E-2</v>
      </c>
      <c r="G198" s="210">
        <v>-7.7078482383726304E-2</v>
      </c>
      <c r="H198" s="210">
        <v>0.10829855369722401</v>
      </c>
      <c r="I198" s="210">
        <v>-0.390948541971536</v>
      </c>
      <c r="J198" s="210">
        <v>-0.19486807230709599</v>
      </c>
      <c r="K198" s="210">
        <v>-0.14538102977964101</v>
      </c>
      <c r="L198" s="211">
        <v>-0.21446674640934801</v>
      </c>
      <c r="M198" s="209">
        <v>1.23261300307289E-2</v>
      </c>
      <c r="N198" s="210">
        <v>8.1821481175145996E-2</v>
      </c>
      <c r="O198" s="210">
        <v>-8.0032070231368893E-2</v>
      </c>
      <c r="P198" s="210">
        <v>0.34496642484183798</v>
      </c>
      <c r="Q198" s="210">
        <v>0.24975132998221899</v>
      </c>
      <c r="R198" s="210">
        <v>-1.2894031578603299E-2</v>
      </c>
      <c r="S198" s="211">
        <v>9.3962488834249305E-2</v>
      </c>
    </row>
    <row r="199" spans="5:19">
      <c r="E199" s="45" t="s">
        <v>3</v>
      </c>
      <c r="F199" s="209">
        <v>3.1985990939469501E-2</v>
      </c>
      <c r="G199" s="210">
        <v>2.28579145681252E-2</v>
      </c>
      <c r="H199" s="210">
        <v>3.8789976135843299E-2</v>
      </c>
      <c r="I199" s="210">
        <v>0</v>
      </c>
      <c r="J199" s="210"/>
      <c r="K199" s="210">
        <v>-2.49383769471671E-3</v>
      </c>
      <c r="L199" s="211">
        <v>-5.7678642737837897E-2</v>
      </c>
      <c r="M199" s="209">
        <v>7.4148555518791598E-2</v>
      </c>
      <c r="N199" s="210">
        <v>0.106569445993788</v>
      </c>
      <c r="O199" s="210">
        <v>1.2328042328042301E-2</v>
      </c>
      <c r="P199" s="210">
        <v>0.36558225170138697</v>
      </c>
      <c r="Q199" s="210"/>
      <c r="R199" s="210">
        <v>0.134094410099142</v>
      </c>
      <c r="S199" s="211">
        <v>0.145409445815848</v>
      </c>
    </row>
    <row r="200" spans="5:19">
      <c r="E200" s="45" t="s">
        <v>4</v>
      </c>
      <c r="F200" s="209">
        <v>0.19694921070167601</v>
      </c>
      <c r="G200" s="210">
        <v>0.120979461180703</v>
      </c>
      <c r="H200" s="210">
        <v>0.28487052413991099</v>
      </c>
      <c r="I200" s="210">
        <v>-0.36103413494717801</v>
      </c>
      <c r="J200" s="210"/>
      <c r="K200" s="210"/>
      <c r="L200" s="211"/>
      <c r="M200" s="209">
        <v>0.115933945367974</v>
      </c>
      <c r="N200" s="210">
        <v>0.20617675130274299</v>
      </c>
      <c r="O200" s="210">
        <v>2.69405539993775E-2</v>
      </c>
      <c r="P200" s="210">
        <v>0.39425803969509099</v>
      </c>
      <c r="Q200" s="210">
        <v>0.41304347826086901</v>
      </c>
      <c r="R200" s="210">
        <v>-3.8461538461538401E-2</v>
      </c>
      <c r="S200" s="211"/>
    </row>
    <row r="201" spans="5:19">
      <c r="E201" s="45" t="s">
        <v>5</v>
      </c>
      <c r="F201" s="209">
        <v>0.33908320674796699</v>
      </c>
      <c r="G201" s="210">
        <v>0.23677356768543401</v>
      </c>
      <c r="H201" s="210">
        <v>0.32954592453568798</v>
      </c>
      <c r="I201" s="210">
        <v>-0.279464285714285</v>
      </c>
      <c r="J201" s="210"/>
      <c r="K201" s="210">
        <v>0.35714285714285698</v>
      </c>
      <c r="L201" s="211"/>
      <c r="M201" s="209">
        <v>0.13035594497073599</v>
      </c>
      <c r="N201" s="210">
        <v>0.34376156091940602</v>
      </c>
      <c r="O201" s="210">
        <v>0.19541489470282</v>
      </c>
      <c r="P201" s="210">
        <v>0.40244432902765298</v>
      </c>
      <c r="Q201" s="210">
        <v>0.41224468679849002</v>
      </c>
      <c r="R201" s="210"/>
      <c r="S201" s="211"/>
    </row>
    <row r="202" spans="5:19">
      <c r="E202" s="46" t="s">
        <v>6</v>
      </c>
      <c r="F202" s="212">
        <v>0.38992800887755702</v>
      </c>
      <c r="G202" s="213">
        <v>0.357343879573842</v>
      </c>
      <c r="H202" s="213">
        <v>0.35695961707289903</v>
      </c>
      <c r="I202" s="213"/>
      <c r="J202" s="213">
        <v>0</v>
      </c>
      <c r="K202" s="213"/>
      <c r="L202" s="214">
        <v>0.3</v>
      </c>
      <c r="M202" s="212"/>
      <c r="N202" s="213">
        <v>0.38542534102252002</v>
      </c>
      <c r="O202" s="213">
        <v>0.248404681738015</v>
      </c>
      <c r="P202" s="213">
        <v>0.39877648109313402</v>
      </c>
      <c r="Q202" s="213">
        <v>0.39245611541791697</v>
      </c>
      <c r="R202" s="213">
        <v>0.28125</v>
      </c>
      <c r="S202" s="214">
        <v>0.44999999999999901</v>
      </c>
    </row>
    <row r="203" spans="5:19">
      <c r="E203" s="44" t="s">
        <v>7</v>
      </c>
      <c r="F203" s="80">
        <v>4.1586665171067003E-2</v>
      </c>
      <c r="G203" s="81">
        <v>-8.4605593533508897E-2</v>
      </c>
      <c r="H203" s="81">
        <v>0.12356175481079799</v>
      </c>
      <c r="I203" s="81">
        <v>-0.36471606551218499</v>
      </c>
      <c r="J203" s="81">
        <v>-0.33753575166835897</v>
      </c>
      <c r="K203" s="81">
        <v>7.2770796237683996E-2</v>
      </c>
      <c r="L203" s="82">
        <v>-0.13257378720835999</v>
      </c>
      <c r="M203" s="80">
        <v>-0.117936186435812</v>
      </c>
      <c r="N203" s="81">
        <v>4.2214444254743397E-2</v>
      </c>
      <c r="O203" s="81">
        <v>-5.5619169979571802E-2</v>
      </c>
      <c r="P203" s="81">
        <v>0.36719089112522002</v>
      </c>
      <c r="Q203" s="81">
        <v>0.308848626330535</v>
      </c>
      <c r="R203" s="81">
        <v>0.11748042164024999</v>
      </c>
      <c r="S203" s="82">
        <v>0.14822179182482301</v>
      </c>
    </row>
    <row r="204" spans="5:19">
      <c r="E204" s="45" t="s">
        <v>8</v>
      </c>
      <c r="F204" s="83">
        <v>0.105993129702547</v>
      </c>
      <c r="G204" s="84">
        <v>3.23762273213794E-3</v>
      </c>
      <c r="H204" s="84">
        <v>0.19352969658929201</v>
      </c>
      <c r="I204" s="84"/>
      <c r="J204" s="84"/>
      <c r="K204" s="84">
        <v>5.6159035224220402E-2</v>
      </c>
      <c r="L204" s="85">
        <v>-4.8860835479998102E-2</v>
      </c>
      <c r="M204" s="83">
        <v>5.3262323374033103E-2</v>
      </c>
      <c r="N204" s="84">
        <v>0.15463285289956599</v>
      </c>
      <c r="O204" s="84">
        <v>-3.08709378471714E-2</v>
      </c>
      <c r="P204" s="84">
        <v>0.39061055793615201</v>
      </c>
      <c r="Q204" s="84">
        <v>0.25572286157304402</v>
      </c>
      <c r="R204" s="84">
        <v>8.3214842135471201E-2</v>
      </c>
      <c r="S204" s="85">
        <v>0.143943452105049</v>
      </c>
    </row>
    <row r="205" spans="5:19">
      <c r="E205" s="45" t="s">
        <v>9</v>
      </c>
      <c r="F205" s="83">
        <v>-4.8967910079383802E-2</v>
      </c>
      <c r="G205" s="84">
        <v>-9.5762791038125697E-2</v>
      </c>
      <c r="H205" s="84">
        <v>5.8688261932670099E-2</v>
      </c>
      <c r="I205" s="84">
        <v>-0.34296259052245398</v>
      </c>
      <c r="J205" s="84">
        <v>-0.30051994156900402</v>
      </c>
      <c r="K205" s="84">
        <v>-5.2145470276465801E-2</v>
      </c>
      <c r="L205" s="85">
        <v>-1.47383467266508E-2</v>
      </c>
      <c r="M205" s="83">
        <v>-4.4926539793208098E-2</v>
      </c>
      <c r="N205" s="84">
        <v>3.55764793665388E-2</v>
      </c>
      <c r="O205" s="84">
        <v>-8.0686439156473194E-2</v>
      </c>
      <c r="P205" s="84">
        <v>0.38756219702384898</v>
      </c>
      <c r="Q205" s="84">
        <v>0.16215221256593201</v>
      </c>
      <c r="R205" s="84">
        <v>0.20848208718219999</v>
      </c>
      <c r="S205" s="85">
        <v>2.2248427672955901E-2</v>
      </c>
    </row>
    <row r="206" spans="5:19">
      <c r="E206" s="45" t="s">
        <v>10</v>
      </c>
      <c r="F206" s="83">
        <v>-0.10869923311280399</v>
      </c>
      <c r="G206" s="84">
        <v>-0.13534476720791999</v>
      </c>
      <c r="H206" s="84">
        <v>-0.257411216234745</v>
      </c>
      <c r="I206" s="84">
        <v>-0.38767214143483603</v>
      </c>
      <c r="J206" s="84"/>
      <c r="K206" s="84">
        <v>-0.15346453607190999</v>
      </c>
      <c r="L206" s="85">
        <v>-0.18553675565639899</v>
      </c>
      <c r="M206" s="83">
        <v>-9.1375411825098202E-2</v>
      </c>
      <c r="N206" s="84">
        <v>-5.4961778811326002E-2</v>
      </c>
      <c r="O206" s="84">
        <v>-9.9168283870669199E-2</v>
      </c>
      <c r="P206" s="84"/>
      <c r="Q206" s="84"/>
      <c r="R206" s="84">
        <v>-4.3052807037969501E-2</v>
      </c>
      <c r="S206" s="85">
        <v>5.4063911344650897E-2</v>
      </c>
    </row>
    <row r="207" spans="5:19">
      <c r="E207" s="45" t="s">
        <v>11</v>
      </c>
      <c r="F207" s="83">
        <v>-0.125795291419843</v>
      </c>
      <c r="G207" s="84">
        <v>-0.20079693324960901</v>
      </c>
      <c r="H207" s="84">
        <v>-6.0068926014448402E-2</v>
      </c>
      <c r="I207" s="84">
        <v>-0.39131950347877797</v>
      </c>
      <c r="J207" s="84"/>
      <c r="K207" s="84">
        <v>-0.233333333333333</v>
      </c>
      <c r="L207" s="85"/>
      <c r="M207" s="83">
        <v>-0.17313153661668901</v>
      </c>
      <c r="N207" s="84">
        <v>-0.107232021944899</v>
      </c>
      <c r="O207" s="84">
        <v>-0.29422186747325002</v>
      </c>
      <c r="P207" s="84">
        <v>0.34502801120448101</v>
      </c>
      <c r="Q207" s="84"/>
      <c r="R207" s="84">
        <v>7.5367647058823498E-2</v>
      </c>
      <c r="S207" s="85">
        <v>0.23076923076923</v>
      </c>
    </row>
    <row r="208" spans="5:19">
      <c r="E208" s="45" t="s">
        <v>12</v>
      </c>
      <c r="F208" s="83">
        <v>-0.14225900486405399</v>
      </c>
      <c r="G208" s="84">
        <v>-0.35256604791558899</v>
      </c>
      <c r="H208" s="84">
        <v>-0.20990667874799099</v>
      </c>
      <c r="I208" s="84">
        <v>-0.42418563288634198</v>
      </c>
      <c r="J208" s="84">
        <v>-0.42031681118236802</v>
      </c>
      <c r="K208" s="84">
        <v>-8.8888888888888795E-2</v>
      </c>
      <c r="L208" s="85">
        <v>-0.25</v>
      </c>
      <c r="M208" s="83">
        <v>-0.32327700001642401</v>
      </c>
      <c r="N208" s="84">
        <v>-0.280052382866877</v>
      </c>
      <c r="O208" s="84">
        <v>-0.36169361958481</v>
      </c>
      <c r="P208" s="84">
        <v>0.30720899470899399</v>
      </c>
      <c r="Q208" s="84"/>
      <c r="R208" s="84">
        <v>-0.11128346961680199</v>
      </c>
      <c r="S208" s="85"/>
    </row>
    <row r="209" spans="5:19">
      <c r="E209" s="46" t="s">
        <v>13</v>
      </c>
      <c r="F209" s="86"/>
      <c r="G209" s="87">
        <v>-0.38830092303146502</v>
      </c>
      <c r="H209" s="87">
        <v>-0.396267621267621</v>
      </c>
      <c r="I209" s="87">
        <v>-0.41676199191725499</v>
      </c>
      <c r="J209" s="87">
        <v>-0.31212121212121202</v>
      </c>
      <c r="K209" s="87">
        <v>-0.40909090909090901</v>
      </c>
      <c r="L209" s="88"/>
      <c r="M209" s="86">
        <v>-0.40103340769038598</v>
      </c>
      <c r="N209" s="87">
        <v>-0.36948693633829899</v>
      </c>
      <c r="O209" s="87">
        <v>-0.35589011335486098</v>
      </c>
      <c r="P209" s="87">
        <v>-0.15</v>
      </c>
      <c r="Q209" s="87"/>
      <c r="R209" s="87"/>
      <c r="S209" s="88"/>
    </row>
  </sheetData>
  <mergeCells count="6">
    <mergeCell ref="E193:S193"/>
    <mergeCell ref="E22:S22"/>
    <mergeCell ref="E41:S41"/>
    <mergeCell ref="E59:S59"/>
    <mergeCell ref="E77:S77"/>
    <mergeCell ref="E95:S95"/>
  </mergeCells>
  <conditionalFormatting sqref="C7:C20">
    <cfRule type="colorScale" priority="2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2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2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2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1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1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1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1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96:S209">
    <cfRule type="colorScale" priority="1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1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1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1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62:S75">
    <cfRule type="colorScale" priority="1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0" id="{6CE73B24-354B-0C40-AEF6-BF62018A9BF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F114:S127</xm:sqref>
        </x14:conditionalFormatting>
        <x14:conditionalFormatting xmlns:xm="http://schemas.microsoft.com/office/excel/2006/main">
          <x14:cfRule type="iconSet" priority="5" id="{2B0176FE-5006-D04D-8084-E6B9B28E4BB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F130:S143</xm:sqref>
        </x14:conditionalFormatting>
        <x14:conditionalFormatting xmlns:xm="http://schemas.microsoft.com/office/excel/2006/main">
          <x14:cfRule type="iconSet" priority="4" id="{1133DF39-9436-0F4B-B3F7-4B512642759A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F146:S159</xm:sqref>
        </x14:conditionalFormatting>
        <x14:conditionalFormatting xmlns:xm="http://schemas.microsoft.com/office/excel/2006/main">
          <x14:cfRule type="iconSet" priority="3" id="{B48C4910-B75C-D04D-85E5-290A9EF68CE0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F162:S175</xm:sqref>
        </x14:conditionalFormatting>
        <x14:conditionalFormatting xmlns:xm="http://schemas.microsoft.com/office/excel/2006/main">
          <x14:cfRule type="iconSet" priority="2" id="{4326E029-2AEC-C341-BDC9-85A8F8B7F568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F178:S191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5A2E-1950-CB49-99E2-6AE4BE46B355}">
  <dimension ref="B2:Z209"/>
  <sheetViews>
    <sheetView showGridLines="0" workbookViewId="0">
      <selection activeCell="F44" sqref="F44:S57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38500</v>
      </c>
      <c r="E3" s="20"/>
      <c r="F3" s="21">
        <f>C7</f>
        <v>1.51878045467599</v>
      </c>
      <c r="G3" s="22">
        <f>C8</f>
        <v>1.0609337161347201</v>
      </c>
      <c r="H3" s="22">
        <f>C9</f>
        <v>0.51150771852670396</v>
      </c>
      <c r="I3" s="22">
        <f>C10</f>
        <v>0.13294626140538701</v>
      </c>
      <c r="J3" s="22">
        <f>C11</f>
        <v>8.5249938709489201E-2</v>
      </c>
      <c r="K3" s="22">
        <f>C12</f>
        <v>0.13421815606965401</v>
      </c>
      <c r="L3" s="23">
        <f>C13</f>
        <v>9.6449970484074193E-2</v>
      </c>
      <c r="M3" s="21">
        <f>C14</f>
        <v>1.4828671095071</v>
      </c>
      <c r="N3" s="22">
        <f>C15</f>
        <v>1.09488886432123</v>
      </c>
      <c r="O3" s="22">
        <f>C16</f>
        <v>0.499086972197469</v>
      </c>
      <c r="P3" s="22">
        <f>C17</f>
        <v>0.13734565198507301</v>
      </c>
      <c r="Q3" s="22">
        <f>C18</f>
        <v>8.6727346929179203E-2</v>
      </c>
      <c r="R3" s="22">
        <f>C19</f>
        <v>0.13193729779494401</v>
      </c>
      <c r="S3" s="23">
        <f>C20</f>
        <v>3.3387290187160398E-2</v>
      </c>
      <c r="U3" s="39" t="s">
        <v>17</v>
      </c>
      <c r="V3" s="38">
        <f>9.25*3600</f>
        <v>33300</v>
      </c>
      <c r="X3" s="77" t="s">
        <v>26</v>
      </c>
      <c r="Y3" s="76">
        <v>986101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1.51878045467599</v>
      </c>
      <c r="E7" s="44" t="s">
        <v>0</v>
      </c>
      <c r="F7" s="29">
        <v>0.34290918891870298</v>
      </c>
      <c r="G7" s="31">
        <v>0.16423602524624401</v>
      </c>
      <c r="H7" s="31">
        <v>6.2712640609646E-2</v>
      </c>
      <c r="I7" s="31">
        <v>0.36572264970714102</v>
      </c>
      <c r="J7" s="31">
        <v>0.36535014982306602</v>
      </c>
      <c r="K7" s="31">
        <v>0.16338882025226001</v>
      </c>
      <c r="L7" s="33">
        <v>4.7904302167658397E-2</v>
      </c>
      <c r="M7" s="29">
        <v>1.60094230504375E-2</v>
      </c>
      <c r="N7" s="31">
        <v>1.12830138940898E-2</v>
      </c>
      <c r="O7" s="31">
        <v>1.68229278805666E-2</v>
      </c>
      <c r="P7" s="31">
        <v>3.21399249714295E-2</v>
      </c>
      <c r="Q7" s="31">
        <v>8.3855704990413296E-2</v>
      </c>
      <c r="R7" s="31">
        <v>7.6871845331219005E-2</v>
      </c>
      <c r="S7" s="33">
        <v>7.2209697514414195E-2</v>
      </c>
      <c r="U7" s="44" t="s">
        <v>0</v>
      </c>
      <c r="V7" s="8">
        <v>3.4674093982571264</v>
      </c>
      <c r="X7" s="44" t="s">
        <v>0</v>
      </c>
      <c r="Y7" s="47">
        <v>116564</v>
      </c>
    </row>
    <row r="8" spans="2:25">
      <c r="B8" s="45" t="s">
        <v>1</v>
      </c>
      <c r="C8" s="27">
        <v>1.0609337161347201</v>
      </c>
      <c r="E8" s="45" t="s">
        <v>1</v>
      </c>
      <c r="F8" s="32">
        <v>9.19475032400391E-2</v>
      </c>
      <c r="G8" s="30">
        <v>0.327374230271535</v>
      </c>
      <c r="H8" s="30">
        <v>4.15683675079149E-2</v>
      </c>
      <c r="I8" s="30">
        <v>7.6154028047043396E-2</v>
      </c>
      <c r="J8" s="30">
        <v>1.9634368755259E-2</v>
      </c>
      <c r="K8" s="30">
        <v>2.41526805660577E-2</v>
      </c>
      <c r="L8" s="34">
        <v>5.8171359160926403E-2</v>
      </c>
      <c r="M8" s="32">
        <v>3.1708912530308601E-2</v>
      </c>
      <c r="N8" s="30">
        <v>2.5552260374807199E-2</v>
      </c>
      <c r="O8" s="30">
        <v>1.89301622362744E-2</v>
      </c>
      <c r="P8" s="30">
        <v>-4.5989399694985403E-2</v>
      </c>
      <c r="Q8" s="30">
        <v>-4.31746921803252E-2</v>
      </c>
      <c r="R8" s="30">
        <v>4.6158074499946598E-2</v>
      </c>
      <c r="S8" s="34">
        <v>5.6753234879983003E-2</v>
      </c>
      <c r="U8" s="45" t="s">
        <v>1</v>
      </c>
      <c r="V8" s="9">
        <v>2.4200624977627681</v>
      </c>
      <c r="X8" s="45" t="s">
        <v>1</v>
      </c>
      <c r="Y8" s="48">
        <v>81484</v>
      </c>
    </row>
    <row r="9" spans="2:25">
      <c r="B9" s="45" t="s">
        <v>2</v>
      </c>
      <c r="C9" s="27">
        <v>0.51150771852670396</v>
      </c>
      <c r="E9" s="45" t="s">
        <v>2</v>
      </c>
      <c r="F9" s="32">
        <v>6.5067782908926498E-3</v>
      </c>
      <c r="G9" s="30">
        <v>2.01343346202001E-2</v>
      </c>
      <c r="H9" s="30">
        <v>0.201700056144517</v>
      </c>
      <c r="I9" s="30">
        <v>-3.8318697444796302E-3</v>
      </c>
      <c r="J9" s="30">
        <v>-2.35319917380142E-2</v>
      </c>
      <c r="K9" s="30">
        <v>-4.9210180220441999E-3</v>
      </c>
      <c r="L9" s="34">
        <v>-1.5982733683854399E-2</v>
      </c>
      <c r="M9" s="32">
        <v>2.9324698691545899E-3</v>
      </c>
      <c r="N9" s="30">
        <v>3.6562217758992202E-3</v>
      </c>
      <c r="O9" s="30">
        <v>-1.8903609568762299E-3</v>
      </c>
      <c r="P9" s="30">
        <v>3.0005585868270599E-2</v>
      </c>
      <c r="Q9" s="30">
        <v>9.9526994719980805E-2</v>
      </c>
      <c r="R9" s="30">
        <v>1.91760887137298E-3</v>
      </c>
      <c r="S9" s="34">
        <v>-3.6364808625553502E-3</v>
      </c>
      <c r="U9" s="45" t="s">
        <v>2</v>
      </c>
      <c r="V9" s="9">
        <v>0.76815261344706576</v>
      </c>
      <c r="X9" s="45" t="s">
        <v>2</v>
      </c>
      <c r="Y9" s="48">
        <v>25795</v>
      </c>
    </row>
    <row r="10" spans="2:25">
      <c r="B10" s="45" t="s">
        <v>3</v>
      </c>
      <c r="C10" s="27">
        <v>0.13294626140538701</v>
      </c>
      <c r="E10" s="45" t="s">
        <v>3</v>
      </c>
      <c r="F10" s="32">
        <v>6.6583095926289297E-3</v>
      </c>
      <c r="G10" s="30">
        <v>5.9456003485464804E-3</v>
      </c>
      <c r="H10" s="30">
        <v>5.4136263962473001E-3</v>
      </c>
      <c r="I10" s="30">
        <v>-4.5749812573497403E-2</v>
      </c>
      <c r="J10" s="30">
        <v>9.2771056865262498E-4</v>
      </c>
      <c r="K10" s="30">
        <v>0.293532844545701</v>
      </c>
      <c r="L10" s="34">
        <v>0.21227460063978301</v>
      </c>
      <c r="M10" s="32">
        <v>1.852603113978E-3</v>
      </c>
      <c r="N10" s="30">
        <v>3.8995790992995098E-3</v>
      </c>
      <c r="O10" s="30">
        <v>-2.0026374279151901E-3</v>
      </c>
      <c r="P10" s="30">
        <v>-2.5623802121329E-2</v>
      </c>
      <c r="Q10" s="30">
        <v>5.3316678159957697E-5</v>
      </c>
      <c r="R10" s="30">
        <v>8.7873805544218003E-2</v>
      </c>
      <c r="S10" s="34">
        <v>0.12544486596770599</v>
      </c>
      <c r="U10" s="45" t="s">
        <v>3</v>
      </c>
      <c r="V10" s="9">
        <v>0.2787857719375465</v>
      </c>
      <c r="X10" s="45" t="s">
        <v>3</v>
      </c>
      <c r="Y10" s="48">
        <v>9816</v>
      </c>
    </row>
    <row r="11" spans="2:25">
      <c r="B11" s="45" t="s">
        <v>4</v>
      </c>
      <c r="C11" s="27">
        <v>8.5249938709489201E-2</v>
      </c>
      <c r="E11" s="45" t="s">
        <v>4</v>
      </c>
      <c r="F11" s="32">
        <v>7.3428168762472196E-4</v>
      </c>
      <c r="G11" s="30">
        <v>2.68145138660133E-3</v>
      </c>
      <c r="H11" s="30">
        <v>1.1696661238548499E-2</v>
      </c>
      <c r="I11" s="30">
        <v>-1.1890443654909301E-3</v>
      </c>
      <c r="J11" s="30">
        <v>-6.9168551419427201E-3</v>
      </c>
      <c r="K11" s="30">
        <v>-2.8292145454133599E-4</v>
      </c>
      <c r="L11" s="34">
        <v>-2.4190675601199899E-3</v>
      </c>
      <c r="M11" s="32">
        <v>4.3541973799632598E-4</v>
      </c>
      <c r="N11" s="30">
        <v>1.04071376466153E-3</v>
      </c>
      <c r="O11" s="30">
        <v>1.8776987287010599E-3</v>
      </c>
      <c r="P11" s="30">
        <v>1.6652889393492101E-2</v>
      </c>
      <c r="Q11" s="30">
        <v>1.5887867271555299E-2</v>
      </c>
      <c r="R11" s="30">
        <v>-7.4132993144363304E-4</v>
      </c>
      <c r="S11" s="34">
        <v>-2.2129469415506698E-3</v>
      </c>
      <c r="U11" s="45" t="s">
        <v>4</v>
      </c>
      <c r="V11" s="9">
        <v>0.11345254756239316</v>
      </c>
      <c r="X11" s="45" t="s">
        <v>4</v>
      </c>
      <c r="Y11" s="48">
        <v>3888</v>
      </c>
    </row>
    <row r="12" spans="2:25">
      <c r="B12" s="45" t="s">
        <v>5</v>
      </c>
      <c r="C12" s="27">
        <v>0.13421815606965401</v>
      </c>
      <c r="E12" s="45" t="s">
        <v>5</v>
      </c>
      <c r="F12" s="32">
        <v>1.83208303264696E-3</v>
      </c>
      <c r="G12" s="30">
        <v>3.9578120638380397E-3</v>
      </c>
      <c r="H12" s="30">
        <v>3.5579166521506202E-2</v>
      </c>
      <c r="I12" s="30">
        <v>-5.7424980006844204E-4</v>
      </c>
      <c r="J12" s="30">
        <v>-8.3296327018268397E-3</v>
      </c>
      <c r="K12" s="30">
        <v>-3.4199993617240101E-3</v>
      </c>
      <c r="L12" s="34">
        <v>-4.8346899889139304E-3</v>
      </c>
      <c r="M12" s="32">
        <v>2.10180643715618E-4</v>
      </c>
      <c r="N12" s="30">
        <v>2.1845906385754899E-3</v>
      </c>
      <c r="O12" s="30">
        <v>-1.2105996960914201E-3</v>
      </c>
      <c r="P12" s="30">
        <v>2.14787498183973E-2</v>
      </c>
      <c r="Q12" s="30">
        <v>2.7682651146701501E-2</v>
      </c>
      <c r="R12" s="30">
        <v>-4.2001976817851498E-4</v>
      </c>
      <c r="S12" s="34">
        <v>-1.8869013839578599E-3</v>
      </c>
      <c r="U12" s="45" t="s">
        <v>5</v>
      </c>
      <c r="V12" s="9">
        <v>0.18916674716810084</v>
      </c>
      <c r="X12" s="45" t="s">
        <v>5</v>
      </c>
      <c r="Y12" s="48">
        <v>6380</v>
      </c>
    </row>
    <row r="13" spans="2:25">
      <c r="B13" s="46" t="s">
        <v>6</v>
      </c>
      <c r="C13" s="28">
        <v>9.6449970484074193E-2</v>
      </c>
      <c r="E13" s="46" t="s">
        <v>6</v>
      </c>
      <c r="F13" s="37">
        <v>1.23030981709017E-3</v>
      </c>
      <c r="G13" s="36">
        <v>5.6400570088690899E-3</v>
      </c>
      <c r="H13" s="36">
        <v>7.3297327873314104E-3</v>
      </c>
      <c r="I13" s="36">
        <v>-3.94311492713379E-3</v>
      </c>
      <c r="J13" s="36">
        <v>-8.5899107052974395E-3</v>
      </c>
      <c r="K13" s="36">
        <v>-2.0471567832920099E-3</v>
      </c>
      <c r="L13" s="35">
        <v>-8.9884050067511501E-4</v>
      </c>
      <c r="M13" s="37">
        <v>-5.6080442461608798E-4</v>
      </c>
      <c r="N13" s="36">
        <v>2.0770921385372802E-3</v>
      </c>
      <c r="O13" s="36">
        <v>-1.1082373319028099E-3</v>
      </c>
      <c r="P13" s="36">
        <v>4.9233368984631397E-2</v>
      </c>
      <c r="Q13" s="36">
        <v>2.99657780679938E-2</v>
      </c>
      <c r="R13" s="36">
        <v>-3.9206860755547097E-3</v>
      </c>
      <c r="S13" s="35">
        <v>9.2188464516626802E-5</v>
      </c>
      <c r="U13" s="46" t="s">
        <v>6</v>
      </c>
      <c r="V13" s="10">
        <v>0.13624382303333743</v>
      </c>
      <c r="X13" s="46" t="s">
        <v>6</v>
      </c>
      <c r="Y13" s="49">
        <v>4826</v>
      </c>
    </row>
    <row r="14" spans="2:25">
      <c r="B14" s="44" t="s">
        <v>7</v>
      </c>
      <c r="C14" s="8">
        <v>1.4828671095071</v>
      </c>
      <c r="E14" s="44" t="s">
        <v>7</v>
      </c>
      <c r="F14" s="11">
        <v>1.5383192486147401E-2</v>
      </c>
      <c r="G14" s="12">
        <v>1.16132993025244E-2</v>
      </c>
      <c r="H14" s="12">
        <v>1.4300978263131901E-2</v>
      </c>
      <c r="I14" s="12">
        <v>2.28952673552262E-2</v>
      </c>
      <c r="J14" s="12">
        <v>7.8130432818749304E-2</v>
      </c>
      <c r="K14" s="12">
        <v>6.9627994041383701E-2</v>
      </c>
      <c r="L14" s="13">
        <v>5.5071100481073602E-2</v>
      </c>
      <c r="M14" s="11">
        <v>0.34049348468739599</v>
      </c>
      <c r="N14" s="12">
        <v>0.16339375858194899</v>
      </c>
      <c r="O14" s="12">
        <v>6.5933675398837793E-2</v>
      </c>
      <c r="P14" s="12">
        <v>0.35325719458858001</v>
      </c>
      <c r="Q14" s="12">
        <v>0.33388265710106302</v>
      </c>
      <c r="R14" s="12">
        <v>0.155435776974679</v>
      </c>
      <c r="S14" s="13">
        <v>6.4105953398246998E-2</v>
      </c>
      <c r="U14" s="44" t="s">
        <v>7</v>
      </c>
      <c r="V14" s="8">
        <v>3.3903131095458963</v>
      </c>
      <c r="X14" s="44" t="s">
        <v>7</v>
      </c>
      <c r="Y14" s="47">
        <v>113623</v>
      </c>
    </row>
    <row r="15" spans="2:25">
      <c r="B15" s="45" t="s">
        <v>8</v>
      </c>
      <c r="C15" s="9">
        <v>1.09488886432123</v>
      </c>
      <c r="E15" s="45" t="s">
        <v>8</v>
      </c>
      <c r="F15" s="14">
        <v>2.9380462991380699E-2</v>
      </c>
      <c r="G15" s="15">
        <v>2.80987470351753E-2</v>
      </c>
      <c r="H15" s="15">
        <v>2.0915047773490798E-2</v>
      </c>
      <c r="I15" s="15">
        <v>-4.1338347684309697E-2</v>
      </c>
      <c r="J15" s="15">
        <v>-4.0249533350319701E-2</v>
      </c>
      <c r="K15" s="15">
        <v>2.9085156190909098E-2</v>
      </c>
      <c r="L15" s="16">
        <v>6.5260339814804003E-2</v>
      </c>
      <c r="M15" s="14">
        <v>9.0577266248633007E-2</v>
      </c>
      <c r="N15" s="15">
        <v>0.32953092945978102</v>
      </c>
      <c r="O15" s="15">
        <v>4.0762039145847598E-2</v>
      </c>
      <c r="P15" s="15">
        <v>8.1384300057729703E-2</v>
      </c>
      <c r="Q15" s="15">
        <v>3.1344286342676601E-2</v>
      </c>
      <c r="R15" s="15">
        <v>3.7009666841773203E-2</v>
      </c>
      <c r="S15" s="16">
        <v>3.9782442538881198E-2</v>
      </c>
      <c r="U15" s="45" t="s">
        <v>8</v>
      </c>
      <c r="V15" s="9">
        <v>2.4671082456420037</v>
      </c>
      <c r="X15" s="45" t="s">
        <v>8</v>
      </c>
      <c r="Y15" s="48">
        <v>83022</v>
      </c>
    </row>
    <row r="16" spans="2:25">
      <c r="B16" s="45" t="s">
        <v>9</v>
      </c>
      <c r="C16" s="9">
        <v>0.499086972197469</v>
      </c>
      <c r="E16" s="45" t="s">
        <v>9</v>
      </c>
      <c r="F16" s="14">
        <v>3.3039268542810999E-3</v>
      </c>
      <c r="G16" s="15">
        <v>3.9563700985586203E-3</v>
      </c>
      <c r="H16" s="15">
        <v>-1.40582381833015E-3</v>
      </c>
      <c r="I16" s="15">
        <v>2.9204133087462E-2</v>
      </c>
      <c r="J16" s="15">
        <v>9.3273394498177106E-2</v>
      </c>
      <c r="K16" s="15">
        <v>-1.86739517204689E-3</v>
      </c>
      <c r="L16" s="16">
        <v>-2.8236843902308601E-3</v>
      </c>
      <c r="M16" s="14">
        <v>8.3022969830123892E-3</v>
      </c>
      <c r="N16" s="15">
        <v>1.92274521616131E-2</v>
      </c>
      <c r="O16" s="15">
        <v>0.223611626935795</v>
      </c>
      <c r="P16" s="15">
        <v>-5.0965317621417903E-3</v>
      </c>
      <c r="Q16" s="15">
        <v>-2.7428830052050199E-2</v>
      </c>
      <c r="R16" s="15">
        <v>1.9447800669093701E-3</v>
      </c>
      <c r="S16" s="16">
        <v>-2.1623454921797299E-2</v>
      </c>
      <c r="U16" s="45" t="s">
        <v>9</v>
      </c>
      <c r="V16" s="9">
        <v>0.78165044341637668</v>
      </c>
      <c r="X16" s="45" t="s">
        <v>9</v>
      </c>
      <c r="Y16" s="48">
        <v>26323</v>
      </c>
    </row>
    <row r="17" spans="2:25">
      <c r="B17" s="45" t="s">
        <v>10</v>
      </c>
      <c r="C17" s="9">
        <v>0.13734565198507301</v>
      </c>
      <c r="E17" s="45" t="s">
        <v>10</v>
      </c>
      <c r="F17" s="14">
        <v>1.9889598950882802E-3</v>
      </c>
      <c r="G17" s="15">
        <v>4.2062850823392202E-3</v>
      </c>
      <c r="H17" s="15">
        <v>-1.11642431611279E-3</v>
      </c>
      <c r="I17" s="15">
        <v>-2.51516115049196E-2</v>
      </c>
      <c r="J17" s="15">
        <v>-4.4794247516823198E-3</v>
      </c>
      <c r="K17" s="15">
        <v>9.8827456236635303E-2</v>
      </c>
      <c r="L17" s="16">
        <v>0.12446387549358801</v>
      </c>
      <c r="M17" s="14">
        <v>5.5296339103878397E-3</v>
      </c>
      <c r="N17" s="15">
        <v>7.2267742091874799E-3</v>
      </c>
      <c r="O17" s="15">
        <v>6.0280852769722297E-3</v>
      </c>
      <c r="P17" s="15">
        <v>-4.4922728470797403E-2</v>
      </c>
      <c r="Q17" s="15">
        <v>-4.6717363066616597E-3</v>
      </c>
      <c r="R17" s="15">
        <v>0.28647216251212898</v>
      </c>
      <c r="S17" s="16">
        <v>0.24249741720243601</v>
      </c>
      <c r="U17" s="45" t="s">
        <v>10</v>
      </c>
      <c r="V17" s="9">
        <v>0.28013145529277372</v>
      </c>
      <c r="X17" s="45" t="s">
        <v>10</v>
      </c>
      <c r="Y17" s="48">
        <v>10003</v>
      </c>
    </row>
    <row r="18" spans="2:25">
      <c r="B18" s="45" t="s">
        <v>11</v>
      </c>
      <c r="C18" s="9">
        <v>8.6727346929179203E-2</v>
      </c>
      <c r="E18" s="45" t="s">
        <v>11</v>
      </c>
      <c r="F18" s="14">
        <v>2.6970043490546401E-4</v>
      </c>
      <c r="G18" s="15">
        <v>8.5631029315254899E-4</v>
      </c>
      <c r="H18" s="15">
        <v>-4.6916488072681201E-4</v>
      </c>
      <c r="I18" s="15">
        <v>2.1677143632677899E-2</v>
      </c>
      <c r="J18" s="15">
        <v>1.4640814953949701E-2</v>
      </c>
      <c r="K18" s="15">
        <v>-1.4988455404217301E-4</v>
      </c>
      <c r="L18" s="16">
        <v>-2.8686260956249602E-3</v>
      </c>
      <c r="M18" s="14">
        <v>8.9549263289976299E-4</v>
      </c>
      <c r="N18" s="15">
        <v>1.56846288612631E-3</v>
      </c>
      <c r="O18" s="15">
        <v>1.2401404514744E-2</v>
      </c>
      <c r="P18" s="15">
        <v>-5.5829974518071504E-4</v>
      </c>
      <c r="Q18" s="15">
        <v>5.5641820939758002E-3</v>
      </c>
      <c r="R18" s="15">
        <v>-4.6081047525570803E-4</v>
      </c>
      <c r="S18" s="16">
        <v>-3.4115568056548601E-3</v>
      </c>
      <c r="U18" s="45" t="s">
        <v>11</v>
      </c>
      <c r="V18" s="9">
        <v>0.11340191063242222</v>
      </c>
      <c r="X18" s="45" t="s">
        <v>11</v>
      </c>
      <c r="Y18" s="48">
        <v>3875</v>
      </c>
    </row>
    <row r="19" spans="2:25">
      <c r="B19" s="45" t="s">
        <v>12</v>
      </c>
      <c r="C19" s="9">
        <v>0.13193729779494401</v>
      </c>
      <c r="E19" s="45" t="s">
        <v>12</v>
      </c>
      <c r="F19" s="14">
        <v>-2.4502598103599702E-4</v>
      </c>
      <c r="G19" s="15">
        <v>2.4127587815631099E-3</v>
      </c>
      <c r="H19" s="15">
        <v>-3.9310549530776798E-4</v>
      </c>
      <c r="I19" s="15">
        <v>1.9063161470022901E-2</v>
      </c>
      <c r="J19" s="15">
        <v>1.44899973748453E-2</v>
      </c>
      <c r="K19" s="15">
        <v>-2.0375895958738501E-3</v>
      </c>
      <c r="L19" s="16">
        <v>-3.3970123983393802E-3</v>
      </c>
      <c r="M19" s="14">
        <v>1.8148492513055E-3</v>
      </c>
      <c r="N19" s="15">
        <v>4.2567435888862803E-3</v>
      </c>
      <c r="O19" s="15">
        <v>3.35070689951125E-2</v>
      </c>
      <c r="P19" s="15">
        <v>-2.0081131500283601E-3</v>
      </c>
      <c r="Q19" s="15">
        <v>-2.93825814683394E-3</v>
      </c>
      <c r="R19" s="15">
        <v>-1.3650191412132599E-3</v>
      </c>
      <c r="S19" s="16">
        <v>-4.81753257590899E-3</v>
      </c>
      <c r="U19" s="45" t="s">
        <v>12</v>
      </c>
      <c r="V19" s="9">
        <v>0.18408533358505785</v>
      </c>
      <c r="X19" s="45" t="s">
        <v>12</v>
      </c>
      <c r="Y19" s="48">
        <v>6208</v>
      </c>
    </row>
    <row r="20" spans="2:25">
      <c r="B20" s="46" t="s">
        <v>13</v>
      </c>
      <c r="C20" s="10">
        <v>3.3387290187160398E-2</v>
      </c>
      <c r="E20" s="46" t="s">
        <v>13</v>
      </c>
      <c r="F20" s="17">
        <v>-5.4837373356472297E-4</v>
      </c>
      <c r="G20" s="18">
        <v>2.31709402209819E-3</v>
      </c>
      <c r="H20" s="18">
        <v>-9.6337620584894797E-4</v>
      </c>
      <c r="I20" s="18">
        <v>4.7859725651628701E-2</v>
      </c>
      <c r="J20" s="18">
        <v>1.2602050769776101E-2</v>
      </c>
      <c r="K20" s="18">
        <v>-4.48341518156283E-3</v>
      </c>
      <c r="L20" s="19">
        <v>6.6768650694746202E-3</v>
      </c>
      <c r="M20" s="17">
        <v>4.26355182761704E-4</v>
      </c>
      <c r="N20" s="18">
        <v>6.1308749749070298E-3</v>
      </c>
      <c r="O20" s="18">
        <v>7.4836449183538498E-3</v>
      </c>
      <c r="P20" s="18">
        <v>-5.2673101410404704E-4</v>
      </c>
      <c r="Q20" s="18">
        <v>-4.49498671140907E-3</v>
      </c>
      <c r="R20" s="18">
        <v>-1.50001419227603E-3</v>
      </c>
      <c r="S20" s="19">
        <v>-5.5762335056275397E-3</v>
      </c>
      <c r="U20" s="46" t="s">
        <v>13</v>
      </c>
      <c r="V20" s="10">
        <v>7.227143733537654E-2</v>
      </c>
      <c r="X20" s="46" t="s">
        <v>13</v>
      </c>
      <c r="Y20" s="49">
        <v>2619</v>
      </c>
    </row>
    <row r="22" spans="2:25">
      <c r="E22" s="227" t="s">
        <v>40</v>
      </c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9"/>
      <c r="V22" s="54">
        <f>Y22/V3</f>
        <v>14.847627627627627</v>
      </c>
      <c r="X22" s="53" t="s">
        <v>20</v>
      </c>
      <c r="Y22" s="51">
        <f>SUM(Y7:Y20)</f>
        <v>494426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0.32656508639475701</v>
      </c>
      <c r="E25" s="1" t="s">
        <v>0</v>
      </c>
      <c r="F25" s="11">
        <v>0.53439679153989506</v>
      </c>
      <c r="G25" s="12">
        <v>0.208918128436096</v>
      </c>
      <c r="H25" s="12">
        <v>0.15364365669777699</v>
      </c>
      <c r="I25" s="12">
        <v>1.01060412213221</v>
      </c>
      <c r="J25" s="12">
        <v>1.0076350255948301</v>
      </c>
      <c r="K25" s="12">
        <v>0.26193699358884698</v>
      </c>
      <c r="L25" s="13">
        <v>7.6813970104440896E-2</v>
      </c>
      <c r="M25" s="11">
        <v>9.8647251409155392E-3</v>
      </c>
      <c r="N25" s="12">
        <v>4.0502510756987103E-2</v>
      </c>
      <c r="O25" s="12">
        <v>0.20032565388161999</v>
      </c>
      <c r="P25" s="12">
        <v>2.0225567919987E-2</v>
      </c>
      <c r="Q25" s="12">
        <v>1.0501007796077599E-2</v>
      </c>
      <c r="R25" s="12">
        <v>2.0267629703473799E-2</v>
      </c>
      <c r="S25" s="13">
        <v>2.1897310357370799E-2</v>
      </c>
    </row>
    <row r="26" spans="2:25">
      <c r="B26" s="2" t="s">
        <v>1</v>
      </c>
      <c r="C26" s="9">
        <v>0.15881169619809099</v>
      </c>
      <c r="E26" s="2" t="s">
        <v>1</v>
      </c>
      <c r="F26" s="14">
        <v>0.111592522534326</v>
      </c>
      <c r="G26" s="15">
        <v>0.58230812865316195</v>
      </c>
      <c r="H26" s="15">
        <v>8.1213275582894595E-2</v>
      </c>
      <c r="I26" s="15">
        <v>0.18889120097992701</v>
      </c>
      <c r="J26" s="15">
        <v>0.61045002356577804</v>
      </c>
      <c r="K26" s="15">
        <v>0.41124849023777899</v>
      </c>
      <c r="L26" s="16">
        <v>0.39304555455103901</v>
      </c>
      <c r="M26" s="14">
        <v>5.1477376326977999E-2</v>
      </c>
      <c r="N26" s="15">
        <v>9.8972261903816604E-3</v>
      </c>
      <c r="O26" s="15">
        <v>7.7582368000989497E-3</v>
      </c>
      <c r="P26" s="15">
        <v>0.159368834651548</v>
      </c>
      <c r="Q26" s="15">
        <v>0.30445201740358102</v>
      </c>
      <c r="R26" s="15">
        <v>7.5686855708632199E-3</v>
      </c>
      <c r="S26" s="16">
        <v>9.5587182686938197E-3</v>
      </c>
    </row>
    <row r="27" spans="2:25">
      <c r="B27" s="2" t="s">
        <v>2</v>
      </c>
      <c r="C27" s="9">
        <v>8.7142337447612697E-2</v>
      </c>
      <c r="E27" s="2" t="s">
        <v>2</v>
      </c>
      <c r="F27" s="14">
        <v>3.8238306042914401E-3</v>
      </c>
      <c r="G27" s="15">
        <v>1.8884082714394498E-2</v>
      </c>
      <c r="H27" s="15">
        <v>0.62446299502240599</v>
      </c>
      <c r="I27" s="15">
        <v>1.8704434440970699E-3</v>
      </c>
      <c r="J27" s="15">
        <v>9.9573935229384097E-2</v>
      </c>
      <c r="K27" s="15">
        <v>9.0530593873892604E-2</v>
      </c>
      <c r="L27" s="16">
        <v>2.9191684597380699E-2</v>
      </c>
      <c r="M27" s="14">
        <v>8.2629180355789297E-3</v>
      </c>
      <c r="N27" s="15">
        <v>1.9019985600615501E-4</v>
      </c>
      <c r="O27" s="15">
        <v>3.0886152018500299E-2</v>
      </c>
      <c r="P27" s="15">
        <v>0.110993848971989</v>
      </c>
      <c r="Q27" s="15">
        <v>0.312605741188067</v>
      </c>
      <c r="R27" s="15">
        <v>3.50024459481679E-3</v>
      </c>
      <c r="S27" s="16">
        <v>8.3639751334957794E-5</v>
      </c>
    </row>
    <row r="28" spans="2:25">
      <c r="B28" s="2" t="s">
        <v>3</v>
      </c>
      <c r="C28" s="9">
        <v>0</v>
      </c>
      <c r="E28" s="2" t="s">
        <v>3</v>
      </c>
      <c r="F28" s="14">
        <v>2.1048086623369901E-3</v>
      </c>
      <c r="G28" s="15">
        <v>1.20224333220519E-3</v>
      </c>
      <c r="H28" s="15">
        <v>5.3818686443046502E-3</v>
      </c>
      <c r="I28" s="15">
        <v>8.0622820918403596E-5</v>
      </c>
      <c r="J28" s="15">
        <v>1.7428908025779601E-16</v>
      </c>
      <c r="K28" s="15">
        <v>0.57390508830068099</v>
      </c>
      <c r="L28" s="16">
        <v>0.37004578472524202</v>
      </c>
      <c r="M28" s="14">
        <v>3.3507621468014402E-5</v>
      </c>
      <c r="N28" s="15">
        <v>9.5803227538680498E-6</v>
      </c>
      <c r="O28" s="15">
        <v>3.3895475825775903E-5</v>
      </c>
      <c r="P28" s="15">
        <v>1.37338740807882E-4</v>
      </c>
      <c r="Q28" s="15">
        <v>1.2483379758115201E-3</v>
      </c>
      <c r="R28" s="15">
        <v>0.36247232041524802</v>
      </c>
      <c r="S28" s="16">
        <v>0.54215245470557305</v>
      </c>
    </row>
    <row r="29" spans="2:25">
      <c r="B29" s="2" t="s">
        <v>4</v>
      </c>
      <c r="C29" s="9">
        <v>0</v>
      </c>
      <c r="E29" s="2" t="s">
        <v>4</v>
      </c>
      <c r="F29" s="14">
        <v>6.4735619007183303E-4</v>
      </c>
      <c r="G29" s="15">
        <v>2.0944132207466101E-3</v>
      </c>
      <c r="H29" s="15">
        <v>2.03235321056707E-2</v>
      </c>
      <c r="I29" s="15">
        <v>1.82508855883644E-5</v>
      </c>
      <c r="J29" s="15">
        <v>1.31506554803287E-3</v>
      </c>
      <c r="K29" s="15">
        <v>7.8886779701397295E-5</v>
      </c>
      <c r="L29" s="16">
        <v>1.51600853062668E-4</v>
      </c>
      <c r="M29" s="14">
        <v>3.1558224771092302E-4</v>
      </c>
      <c r="N29" s="15">
        <v>1.4104781427763801E-5</v>
      </c>
      <c r="O29" s="15">
        <v>2.93634009757138E-4</v>
      </c>
      <c r="P29" s="15">
        <v>5.7259188017270403E-2</v>
      </c>
      <c r="Q29" s="15">
        <v>0.121430702124983</v>
      </c>
      <c r="R29" s="15">
        <v>4.8255277507531E-4</v>
      </c>
      <c r="S29" s="16">
        <v>6.1038922117493503E-3</v>
      </c>
    </row>
    <row r="30" spans="2:25">
      <c r="B30" s="2" t="s">
        <v>5</v>
      </c>
      <c r="C30" s="9">
        <v>0</v>
      </c>
      <c r="E30" s="2" t="s">
        <v>5</v>
      </c>
      <c r="F30" s="14">
        <v>1.7305069988485999E-3</v>
      </c>
      <c r="G30" s="15">
        <v>8.4330329036488901E-3</v>
      </c>
      <c r="H30" s="15">
        <v>3.7294870931991103E-2</v>
      </c>
      <c r="I30" s="15">
        <v>0.12604946492254701</v>
      </c>
      <c r="J30" s="15">
        <v>7.8887687827180802E-4</v>
      </c>
      <c r="K30" s="15">
        <v>7.2376822344599496E-4</v>
      </c>
      <c r="L30" s="16">
        <v>4.0682917152836798E-5</v>
      </c>
      <c r="M30" s="14">
        <v>4.7604465200490998E-4</v>
      </c>
      <c r="N30" s="15">
        <v>3.4153375194627899E-5</v>
      </c>
      <c r="O30" s="15">
        <v>2.47413458411448E-4</v>
      </c>
      <c r="P30" s="15">
        <v>0.242473847419309</v>
      </c>
      <c r="Q30" s="15">
        <v>0.214922166447926</v>
      </c>
      <c r="R30" s="15">
        <v>5.2641848190817196E-4</v>
      </c>
      <c r="S30" s="16">
        <v>7.1385009658932403E-4</v>
      </c>
    </row>
    <row r="31" spans="2:25">
      <c r="B31" s="3" t="s">
        <v>6</v>
      </c>
      <c r="C31" s="10">
        <v>0</v>
      </c>
      <c r="E31" s="3" t="s">
        <v>6</v>
      </c>
      <c r="F31" s="17">
        <v>2.5123739319249199E-4</v>
      </c>
      <c r="G31" s="18">
        <v>2.8122196199893402E-3</v>
      </c>
      <c r="H31" s="18">
        <v>5.7275299947236501E-3</v>
      </c>
      <c r="I31" s="18">
        <v>2.8618013799659101E-2</v>
      </c>
      <c r="J31" s="18">
        <v>5.7528192197638095E-4</v>
      </c>
      <c r="K31" s="18">
        <v>3.2560989458688502E-4</v>
      </c>
      <c r="L31" s="19">
        <v>1.482483177409E-3</v>
      </c>
      <c r="M31" s="17">
        <v>2.4325184178124099E-33</v>
      </c>
      <c r="N31" s="18">
        <v>1.7022094351039199E-6</v>
      </c>
      <c r="O31" s="18">
        <v>5.1700848642770797E-6</v>
      </c>
      <c r="P31" s="18">
        <v>0.18665358821713901</v>
      </c>
      <c r="Q31" s="18">
        <v>0.162008381253961</v>
      </c>
      <c r="R31" s="18">
        <v>4.4682117970002799E-4</v>
      </c>
      <c r="S31" s="19">
        <v>8.6249338406916402E-5</v>
      </c>
    </row>
    <row r="32" spans="2:25">
      <c r="B32" s="1" t="s">
        <v>7</v>
      </c>
      <c r="C32" s="8">
        <v>0.32868670138647998</v>
      </c>
      <c r="E32" s="1" t="s">
        <v>7</v>
      </c>
      <c r="F32" s="11">
        <v>9.5943419878085304E-3</v>
      </c>
      <c r="G32" s="12">
        <v>4.1314335673613298E-2</v>
      </c>
      <c r="H32" s="12">
        <v>0.19686274025699299</v>
      </c>
      <c r="I32" s="12">
        <v>2.0484303152190901E-2</v>
      </c>
      <c r="J32" s="12">
        <v>1.05767111271514E-2</v>
      </c>
      <c r="K32" s="12">
        <v>1.75254252701477E-2</v>
      </c>
      <c r="L32" s="13">
        <v>3.0398055431957501E-2</v>
      </c>
      <c r="M32" s="11">
        <v>0.53132141961165502</v>
      </c>
      <c r="N32" s="12">
        <v>0.20667110682019099</v>
      </c>
      <c r="O32" s="12">
        <v>0.150491989247306</v>
      </c>
      <c r="P32" s="12">
        <v>1.0077160024585601</v>
      </c>
      <c r="Q32" s="12">
        <v>0.99744675465120802</v>
      </c>
      <c r="R32" s="12">
        <v>0.25977247230327299</v>
      </c>
      <c r="S32" s="13">
        <v>8.0550946169170995E-2</v>
      </c>
    </row>
    <row r="33" spans="2:26">
      <c r="B33" s="2" t="s">
        <v>8</v>
      </c>
      <c r="C33" s="9">
        <v>0.16013826549298199</v>
      </c>
      <c r="E33" s="2" t="s">
        <v>8</v>
      </c>
      <c r="F33" s="14">
        <v>5.2068401655336299E-2</v>
      </c>
      <c r="G33" s="15">
        <v>9.7713487507640803E-3</v>
      </c>
      <c r="H33" s="15">
        <v>7.7640184890142702E-3</v>
      </c>
      <c r="I33" s="15">
        <v>0.15280864184551801</v>
      </c>
      <c r="J33" s="15">
        <v>0.28563602348832701</v>
      </c>
      <c r="K33" s="15">
        <v>7.8252208784440995E-3</v>
      </c>
      <c r="L33" s="16">
        <v>1.2720747947141901E-2</v>
      </c>
      <c r="M33" s="14">
        <v>0.112164134327725</v>
      </c>
      <c r="N33" s="15">
        <v>0.58436465279108796</v>
      </c>
      <c r="O33" s="15">
        <v>8.3600813669121393E-2</v>
      </c>
      <c r="P33" s="15">
        <v>0.183355492854963</v>
      </c>
      <c r="Q33" s="15">
        <v>0.59071398416191701</v>
      </c>
      <c r="R33" s="15">
        <v>0.42137575513216302</v>
      </c>
      <c r="S33" s="16">
        <v>0.40685966021999898</v>
      </c>
    </row>
    <row r="34" spans="2:26">
      <c r="B34" s="2" t="s">
        <v>9</v>
      </c>
      <c r="C34" s="9">
        <v>8.4155280220345394E-2</v>
      </c>
      <c r="E34" s="2" t="s">
        <v>9</v>
      </c>
      <c r="F34" s="14">
        <v>7.5521531924627799E-3</v>
      </c>
      <c r="G34" s="15">
        <v>1.9076953062495801E-4</v>
      </c>
      <c r="H34" s="15">
        <v>2.7563254301605E-2</v>
      </c>
      <c r="I34" s="15">
        <v>0.108641744133862</v>
      </c>
      <c r="J34" s="15">
        <v>0.33414232390613202</v>
      </c>
      <c r="K34" s="15">
        <v>4.39836496781642E-3</v>
      </c>
      <c r="L34" s="16">
        <v>1.6809282215003799E-5</v>
      </c>
      <c r="M34" s="14">
        <v>3.3564375225102398E-3</v>
      </c>
      <c r="N34" s="15">
        <v>1.92583699394182E-2</v>
      </c>
      <c r="O34" s="15">
        <v>0.64189069914395902</v>
      </c>
      <c r="P34" s="15">
        <v>1.69707758124844E-3</v>
      </c>
      <c r="Q34" s="15">
        <v>0.100726239155483</v>
      </c>
      <c r="R34" s="15">
        <v>9.2497168330190296E-2</v>
      </c>
      <c r="S34" s="16">
        <v>2.90525882570568E-2</v>
      </c>
    </row>
    <row r="35" spans="2:26">
      <c r="B35" s="2" t="s">
        <v>10</v>
      </c>
      <c r="C35" s="9">
        <v>0</v>
      </c>
      <c r="E35" s="2" t="s">
        <v>10</v>
      </c>
      <c r="F35" s="14">
        <v>2.62192556255425E-5</v>
      </c>
      <c r="G35" s="15">
        <v>6.3197232925129996E-6</v>
      </c>
      <c r="H35" s="15">
        <v>3.3163913311739402E-5</v>
      </c>
      <c r="I35" s="15">
        <v>2.6898544460889899E-5</v>
      </c>
      <c r="J35" s="15">
        <v>1.67021172807836E-3</v>
      </c>
      <c r="K35" s="15">
        <v>0.35941429596570501</v>
      </c>
      <c r="L35" s="16">
        <v>0.545401670458598</v>
      </c>
      <c r="M35" s="14">
        <v>2.06001186245117E-3</v>
      </c>
      <c r="N35" s="15">
        <v>1.1340549495474899E-3</v>
      </c>
      <c r="O35" s="15">
        <v>5.5996183039865501E-3</v>
      </c>
      <c r="P35" s="15">
        <v>1.01419117480234E-4</v>
      </c>
      <c r="Q35" s="15">
        <v>1.6087733278061099E-29</v>
      </c>
      <c r="R35" s="15">
        <v>0.56971283150864405</v>
      </c>
      <c r="S35" s="16">
        <v>0.37629260805942799</v>
      </c>
    </row>
    <row r="36" spans="2:26">
      <c r="B36" s="2" t="s">
        <v>11</v>
      </c>
      <c r="C36" s="9">
        <v>0</v>
      </c>
      <c r="E36" s="2" t="s">
        <v>11</v>
      </c>
      <c r="F36" s="14">
        <v>3.4770381222491801E-4</v>
      </c>
      <c r="G36" s="15">
        <v>6.4540677342851501E-6</v>
      </c>
      <c r="H36" s="15">
        <v>4.9109290396500598E-4</v>
      </c>
      <c r="I36" s="15">
        <v>5.8098068594065598E-2</v>
      </c>
      <c r="J36" s="15">
        <v>0.11696243679262899</v>
      </c>
      <c r="K36" s="15">
        <v>1.63293461249832E-3</v>
      </c>
      <c r="L36" s="16">
        <v>7.23240649159251E-3</v>
      </c>
      <c r="M36" s="14">
        <v>6.1963211372965195E-4</v>
      </c>
      <c r="N36" s="15">
        <v>2.0922456211876499E-3</v>
      </c>
      <c r="O36" s="15">
        <v>2.0329538581305401E-2</v>
      </c>
      <c r="P36" s="15">
        <v>2.55177758360834E-5</v>
      </c>
      <c r="Q36" s="15">
        <v>2.28524910918467E-3</v>
      </c>
      <c r="R36" s="15">
        <v>3.3036468688813202E-4</v>
      </c>
      <c r="S36" s="16">
        <v>6.1655772501481804E-4</v>
      </c>
    </row>
    <row r="37" spans="2:26">
      <c r="B37" s="2" t="s">
        <v>12</v>
      </c>
      <c r="C37" s="9">
        <v>0</v>
      </c>
      <c r="E37" s="2" t="s">
        <v>12</v>
      </c>
      <c r="F37" s="14">
        <v>5.9602076280501105E-4</v>
      </c>
      <c r="G37" s="15">
        <v>3.4053105158043E-5</v>
      </c>
      <c r="H37" s="15">
        <v>3.0394304532871798E-4</v>
      </c>
      <c r="I37" s="15">
        <v>0.23498509377972601</v>
      </c>
      <c r="J37" s="15">
        <v>0.21921392911812901</v>
      </c>
      <c r="K37" s="15">
        <v>8.3704522765535802E-4</v>
      </c>
      <c r="L37" s="16">
        <v>2.5790085458784898E-4</v>
      </c>
      <c r="M37" s="14">
        <v>1.5773304443230901E-3</v>
      </c>
      <c r="N37" s="15">
        <v>8.6090439885887302E-3</v>
      </c>
      <c r="O37" s="15">
        <v>3.8740350714422701E-2</v>
      </c>
      <c r="P37" s="15">
        <v>0.12389050748542001</v>
      </c>
      <c r="Q37" s="15">
        <v>3.5548047006365898E-4</v>
      </c>
      <c r="R37" s="15">
        <v>8.1491721904260205E-4</v>
      </c>
      <c r="S37" s="16">
        <v>2.1683236120082801E-4</v>
      </c>
    </row>
    <row r="38" spans="2:26">
      <c r="B38" s="3" t="s">
        <v>13</v>
      </c>
      <c r="C38" s="10">
        <v>0</v>
      </c>
      <c r="E38" s="3" t="s">
        <v>13</v>
      </c>
      <c r="F38" s="17">
        <v>4.4144504106273202E-46</v>
      </c>
      <c r="G38" s="18">
        <v>7.6016456007366099E-6</v>
      </c>
      <c r="H38" s="18">
        <v>2.15335989431515E-5</v>
      </c>
      <c r="I38" s="18">
        <v>0.18350064159448301</v>
      </c>
      <c r="J38" s="18">
        <v>0.15973841454718499</v>
      </c>
      <c r="K38" s="18">
        <v>5.97391455725023E-4</v>
      </c>
      <c r="L38" s="19">
        <v>4.7091487346916799E-4</v>
      </c>
      <c r="M38" s="17">
        <v>2.2807552400565801E-4</v>
      </c>
      <c r="N38" s="18">
        <v>3.0099098874638002E-3</v>
      </c>
      <c r="O38" s="18">
        <v>6.1912569811109E-3</v>
      </c>
      <c r="P38" s="18">
        <v>2.8970358336128502E-2</v>
      </c>
      <c r="Q38" s="18">
        <v>7.6037839739496798E-4</v>
      </c>
      <c r="R38" s="18">
        <v>2.1297811476091001E-4</v>
      </c>
      <c r="S38" s="19">
        <v>1.19828808286921E-3</v>
      </c>
    </row>
    <row r="41" spans="2:26">
      <c r="E41" s="227" t="s">
        <v>33</v>
      </c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9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49475</v>
      </c>
      <c r="G44" s="56">
        <v>21604</v>
      </c>
      <c r="H44" s="56">
        <v>5179</v>
      </c>
      <c r="I44" s="56">
        <v>3853</v>
      </c>
      <c r="J44" s="56">
        <v>1484</v>
      </c>
      <c r="K44" s="56">
        <v>1461</v>
      </c>
      <c r="L44" s="57">
        <v>835</v>
      </c>
      <c r="M44" s="55">
        <v>14797</v>
      </c>
      <c r="N44" s="56">
        <v>10151</v>
      </c>
      <c r="O44" s="56">
        <v>4032</v>
      </c>
      <c r="P44" s="56">
        <v>1477</v>
      </c>
      <c r="Q44" s="56">
        <v>719</v>
      </c>
      <c r="R44" s="56">
        <v>989</v>
      </c>
      <c r="S44" s="57">
        <v>508</v>
      </c>
      <c r="Y44" s="52" t="s">
        <v>37</v>
      </c>
      <c r="Z44" s="50">
        <f>Y22</f>
        <v>494426</v>
      </c>
    </row>
    <row r="45" spans="2:26">
      <c r="E45" s="45" t="s">
        <v>1</v>
      </c>
      <c r="F45" s="58">
        <v>21250</v>
      </c>
      <c r="G45" s="59">
        <v>27935</v>
      </c>
      <c r="H45" s="59">
        <v>3680</v>
      </c>
      <c r="I45" s="59">
        <v>1330</v>
      </c>
      <c r="J45" s="59">
        <v>415</v>
      </c>
      <c r="K45" s="59">
        <v>666</v>
      </c>
      <c r="L45" s="60">
        <v>655</v>
      </c>
      <c r="M45" s="58">
        <v>12365</v>
      </c>
      <c r="N45" s="59">
        <v>8345</v>
      </c>
      <c r="O45" s="59">
        <v>2781</v>
      </c>
      <c r="P45" s="59">
        <v>790</v>
      </c>
      <c r="Q45" s="59">
        <v>306</v>
      </c>
      <c r="R45" s="59">
        <v>638</v>
      </c>
      <c r="S45" s="60">
        <v>328</v>
      </c>
      <c r="Y45" s="52" t="s">
        <v>24</v>
      </c>
      <c r="Z45" s="50">
        <f>SUM(Y9,Y11:Y12,Y16,Y18:Y19)</f>
        <v>72469</v>
      </c>
    </row>
    <row r="46" spans="2:26">
      <c r="E46" s="45" t="s">
        <v>2</v>
      </c>
      <c r="F46" s="58">
        <v>4977</v>
      </c>
      <c r="G46" s="59">
        <v>4147</v>
      </c>
      <c r="H46" s="59">
        <v>5781</v>
      </c>
      <c r="I46" s="59">
        <v>350</v>
      </c>
      <c r="J46" s="59">
        <v>152</v>
      </c>
      <c r="K46" s="59">
        <v>305</v>
      </c>
      <c r="L46" s="60">
        <v>215</v>
      </c>
      <c r="M46" s="58">
        <v>4444</v>
      </c>
      <c r="N46" s="59">
        <v>3072</v>
      </c>
      <c r="O46" s="59">
        <v>1116</v>
      </c>
      <c r="P46" s="59">
        <v>546</v>
      </c>
      <c r="Q46" s="59">
        <v>385</v>
      </c>
      <c r="R46" s="59">
        <v>229</v>
      </c>
      <c r="S46" s="60">
        <v>76</v>
      </c>
      <c r="Y46" s="52" t="s">
        <v>30</v>
      </c>
      <c r="Z46" s="50">
        <v>35411</v>
      </c>
    </row>
    <row r="47" spans="2:26">
      <c r="E47" s="45" t="s">
        <v>3</v>
      </c>
      <c r="F47" s="58">
        <v>2007</v>
      </c>
      <c r="G47" s="59">
        <v>1124</v>
      </c>
      <c r="H47" s="59">
        <v>440</v>
      </c>
      <c r="I47" s="59">
        <v>339</v>
      </c>
      <c r="J47" s="59">
        <v>44</v>
      </c>
      <c r="K47" s="59">
        <v>1322</v>
      </c>
      <c r="L47" s="60">
        <v>743</v>
      </c>
      <c r="M47" s="58">
        <v>1419</v>
      </c>
      <c r="N47" s="59">
        <v>1065</v>
      </c>
      <c r="O47" s="59">
        <v>323</v>
      </c>
      <c r="P47" s="59">
        <v>239</v>
      </c>
      <c r="Q47" s="59">
        <v>49</v>
      </c>
      <c r="R47" s="59">
        <v>449</v>
      </c>
      <c r="S47" s="60">
        <v>253</v>
      </c>
      <c r="Y47" s="52" t="s">
        <v>28</v>
      </c>
      <c r="Z47" s="50">
        <v>58661</v>
      </c>
    </row>
    <row r="48" spans="2:26">
      <c r="E48" s="45" t="s">
        <v>4</v>
      </c>
      <c r="F48" s="58">
        <v>773</v>
      </c>
      <c r="G48" s="59">
        <v>633</v>
      </c>
      <c r="H48" s="59">
        <v>503</v>
      </c>
      <c r="I48" s="59">
        <v>61</v>
      </c>
      <c r="J48" s="59">
        <v>30</v>
      </c>
      <c r="K48" s="59">
        <v>41</v>
      </c>
      <c r="L48" s="60">
        <v>32</v>
      </c>
      <c r="M48" s="58">
        <v>750</v>
      </c>
      <c r="N48" s="59">
        <v>538</v>
      </c>
      <c r="O48" s="59">
        <v>224</v>
      </c>
      <c r="P48" s="59">
        <v>190</v>
      </c>
      <c r="Q48" s="59">
        <v>67</v>
      </c>
      <c r="R48" s="59">
        <v>29</v>
      </c>
      <c r="S48" s="60">
        <v>17</v>
      </c>
      <c r="Y48" s="52" t="s">
        <v>31</v>
      </c>
      <c r="Z48" s="78">
        <f>Z47/Z46</f>
        <v>1.6565756403377481</v>
      </c>
    </row>
    <row r="49" spans="5:26">
      <c r="E49" s="45" t="s">
        <v>5</v>
      </c>
      <c r="F49" s="58">
        <v>1363</v>
      </c>
      <c r="G49" s="59">
        <v>1009</v>
      </c>
      <c r="H49" s="59">
        <v>1075</v>
      </c>
      <c r="I49" s="59">
        <v>90</v>
      </c>
      <c r="J49" s="59">
        <v>41</v>
      </c>
      <c r="K49" s="59">
        <v>81</v>
      </c>
      <c r="L49" s="60">
        <v>55</v>
      </c>
      <c r="M49" s="58">
        <v>1127</v>
      </c>
      <c r="N49" s="59">
        <v>819</v>
      </c>
      <c r="O49" s="59">
        <v>287</v>
      </c>
      <c r="P49" s="59">
        <v>224</v>
      </c>
      <c r="Q49" s="59">
        <v>123</v>
      </c>
      <c r="R49" s="59">
        <v>61</v>
      </c>
      <c r="S49" s="60">
        <v>25</v>
      </c>
      <c r="Y49" s="52" t="s">
        <v>29</v>
      </c>
      <c r="Z49" s="79">
        <v>3.1204992798847815E-2</v>
      </c>
    </row>
    <row r="50" spans="5:26">
      <c r="E50" s="46" t="s">
        <v>6</v>
      </c>
      <c r="F50" s="61">
        <v>949</v>
      </c>
      <c r="G50" s="62">
        <v>899</v>
      </c>
      <c r="H50" s="62">
        <v>413</v>
      </c>
      <c r="I50" s="62">
        <v>72</v>
      </c>
      <c r="J50" s="62">
        <v>20</v>
      </c>
      <c r="K50" s="62">
        <v>46</v>
      </c>
      <c r="L50" s="63">
        <v>57</v>
      </c>
      <c r="M50" s="61">
        <v>869</v>
      </c>
      <c r="N50" s="62">
        <v>687</v>
      </c>
      <c r="O50" s="62">
        <v>237</v>
      </c>
      <c r="P50" s="62">
        <v>408</v>
      </c>
      <c r="Q50" s="62">
        <v>112</v>
      </c>
      <c r="R50" s="62">
        <v>40</v>
      </c>
      <c r="S50" s="63">
        <v>17</v>
      </c>
      <c r="Y50" s="52" t="s">
        <v>32</v>
      </c>
      <c r="Z50" s="50">
        <f>Z46*Z49</f>
        <v>1105</v>
      </c>
    </row>
    <row r="51" spans="5:26">
      <c r="E51" s="44" t="s">
        <v>7</v>
      </c>
      <c r="F51" s="64">
        <v>14781</v>
      </c>
      <c r="G51" s="65">
        <v>9694</v>
      </c>
      <c r="H51" s="65">
        <v>3864</v>
      </c>
      <c r="I51" s="65">
        <v>1351</v>
      </c>
      <c r="J51" s="65">
        <v>721</v>
      </c>
      <c r="K51" s="65">
        <v>976</v>
      </c>
      <c r="L51" s="66">
        <v>812</v>
      </c>
      <c r="M51" s="64">
        <v>47541</v>
      </c>
      <c r="N51" s="65">
        <v>21567</v>
      </c>
      <c r="O51" s="65">
        <v>5271</v>
      </c>
      <c r="P51" s="65">
        <v>3773</v>
      </c>
      <c r="Q51" s="65">
        <v>1430</v>
      </c>
      <c r="R51" s="65">
        <v>1390</v>
      </c>
      <c r="S51" s="66">
        <v>452</v>
      </c>
      <c r="Y51" s="52" t="s">
        <v>27</v>
      </c>
      <c r="Z51" s="74">
        <v>0.24420999537640284</v>
      </c>
    </row>
    <row r="52" spans="5:26">
      <c r="E52" s="45" t="s">
        <v>8</v>
      </c>
      <c r="F52" s="67">
        <v>12738</v>
      </c>
      <c r="G52" s="68">
        <v>8574</v>
      </c>
      <c r="H52" s="68">
        <v>2916</v>
      </c>
      <c r="I52" s="68">
        <v>879</v>
      </c>
      <c r="J52" s="68">
        <v>323</v>
      </c>
      <c r="K52" s="68">
        <v>638</v>
      </c>
      <c r="L52" s="69">
        <v>666</v>
      </c>
      <c r="M52" s="67">
        <v>20717</v>
      </c>
      <c r="N52" s="68">
        <v>28895</v>
      </c>
      <c r="O52" s="68">
        <v>3744</v>
      </c>
      <c r="P52" s="68">
        <v>1541</v>
      </c>
      <c r="Q52" s="68">
        <v>390</v>
      </c>
      <c r="R52" s="68">
        <v>658</v>
      </c>
      <c r="S52" s="69">
        <v>342</v>
      </c>
      <c r="Y52" s="52" t="s">
        <v>22</v>
      </c>
      <c r="Z52" s="74">
        <v>1.9886999418453086</v>
      </c>
    </row>
    <row r="53" spans="5:26">
      <c r="E53" s="45" t="s">
        <v>9</v>
      </c>
      <c r="F53" s="67">
        <v>4448</v>
      </c>
      <c r="G53" s="68">
        <v>2984</v>
      </c>
      <c r="H53" s="68">
        <v>1091</v>
      </c>
      <c r="I53" s="68">
        <v>490</v>
      </c>
      <c r="J53" s="68">
        <v>416</v>
      </c>
      <c r="K53" s="68">
        <v>228</v>
      </c>
      <c r="L53" s="69">
        <v>184</v>
      </c>
      <c r="M53" s="67">
        <v>5198</v>
      </c>
      <c r="N53" s="68">
        <v>4270</v>
      </c>
      <c r="O53" s="68">
        <v>6128</v>
      </c>
      <c r="P53" s="68">
        <v>341</v>
      </c>
      <c r="Q53" s="68">
        <v>155</v>
      </c>
      <c r="R53" s="68">
        <v>280</v>
      </c>
      <c r="S53" s="69">
        <v>110</v>
      </c>
      <c r="Y53" s="52" t="s">
        <v>23</v>
      </c>
      <c r="Z53" s="73">
        <v>6900</v>
      </c>
    </row>
    <row r="54" spans="5:26">
      <c r="E54" s="45" t="s">
        <v>10</v>
      </c>
      <c r="F54" s="67">
        <v>1542</v>
      </c>
      <c r="G54" s="68">
        <v>1083</v>
      </c>
      <c r="H54" s="68">
        <v>304</v>
      </c>
      <c r="I54" s="68">
        <v>260</v>
      </c>
      <c r="J54" s="68">
        <v>51</v>
      </c>
      <c r="K54" s="68">
        <v>499</v>
      </c>
      <c r="L54" s="69">
        <v>451</v>
      </c>
      <c r="M54" s="67">
        <v>1914</v>
      </c>
      <c r="N54" s="68">
        <v>1379</v>
      </c>
      <c r="O54" s="68">
        <v>428</v>
      </c>
      <c r="P54" s="68">
        <v>285</v>
      </c>
      <c r="Q54" s="68">
        <v>48</v>
      </c>
      <c r="R54" s="68">
        <v>1326</v>
      </c>
      <c r="S54" s="69">
        <v>433</v>
      </c>
      <c r="Y54" s="52" t="s">
        <v>25</v>
      </c>
      <c r="Z54" s="75">
        <f>Z53/(Y10+Y17)</f>
        <v>0.34815076441798276</v>
      </c>
    </row>
    <row r="55" spans="5:26">
      <c r="E55" s="45" t="s">
        <v>11</v>
      </c>
      <c r="F55" s="67">
        <v>780</v>
      </c>
      <c r="G55" s="68">
        <v>549</v>
      </c>
      <c r="H55" s="68">
        <v>178</v>
      </c>
      <c r="I55" s="68">
        <v>209</v>
      </c>
      <c r="J55" s="68">
        <v>66</v>
      </c>
      <c r="K55" s="68">
        <v>38</v>
      </c>
      <c r="L55" s="69">
        <v>31</v>
      </c>
      <c r="M55" s="67">
        <v>810</v>
      </c>
      <c r="N55" s="68">
        <v>576</v>
      </c>
      <c r="O55" s="68">
        <v>452</v>
      </c>
      <c r="P55" s="68">
        <v>75</v>
      </c>
      <c r="Q55" s="68">
        <v>50</v>
      </c>
      <c r="R55" s="68">
        <v>38</v>
      </c>
      <c r="S55" s="69">
        <v>23</v>
      </c>
    </row>
    <row r="56" spans="5:26">
      <c r="E56" s="45" t="s">
        <v>12</v>
      </c>
      <c r="F56" s="67">
        <v>1109</v>
      </c>
      <c r="G56" s="68">
        <v>874</v>
      </c>
      <c r="H56" s="68">
        <v>300</v>
      </c>
      <c r="I56" s="68">
        <v>208</v>
      </c>
      <c r="J56" s="68">
        <v>73</v>
      </c>
      <c r="K56" s="68">
        <v>59</v>
      </c>
      <c r="L56" s="69">
        <v>46</v>
      </c>
      <c r="M56" s="67">
        <v>1265</v>
      </c>
      <c r="N56" s="68">
        <v>1036</v>
      </c>
      <c r="O56" s="68">
        <v>1039</v>
      </c>
      <c r="P56" s="68">
        <v>83</v>
      </c>
      <c r="Q56" s="68">
        <v>28</v>
      </c>
      <c r="R56" s="68">
        <v>61</v>
      </c>
      <c r="S56" s="69">
        <v>27</v>
      </c>
    </row>
    <row r="57" spans="5:26">
      <c r="E57" s="46" t="s">
        <v>13</v>
      </c>
      <c r="F57" s="70">
        <v>372</v>
      </c>
      <c r="G57" s="71">
        <v>375</v>
      </c>
      <c r="H57" s="71">
        <v>71</v>
      </c>
      <c r="I57" s="71">
        <v>324</v>
      </c>
      <c r="J57" s="71">
        <v>52</v>
      </c>
      <c r="K57" s="71">
        <v>19</v>
      </c>
      <c r="L57" s="72">
        <v>44</v>
      </c>
      <c r="M57" s="70">
        <v>407</v>
      </c>
      <c r="N57" s="71">
        <v>622</v>
      </c>
      <c r="O57" s="71">
        <v>261</v>
      </c>
      <c r="P57" s="71">
        <v>31</v>
      </c>
      <c r="Q57" s="71">
        <v>13</v>
      </c>
      <c r="R57" s="71">
        <v>20</v>
      </c>
      <c r="S57" s="72">
        <v>8</v>
      </c>
    </row>
    <row r="59" spans="5:26">
      <c r="E59" s="227" t="s">
        <v>34</v>
      </c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9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89">
        <v>53506</v>
      </c>
      <c r="G62" s="90">
        <v>21886</v>
      </c>
      <c r="H62" s="91">
        <v>4950</v>
      </c>
      <c r="I62" s="92">
        <v>2834</v>
      </c>
      <c r="J62" s="93">
        <v>544</v>
      </c>
      <c r="K62" s="94">
        <v>750</v>
      </c>
      <c r="L62" s="95">
        <v>320</v>
      </c>
      <c r="M62" s="96">
        <v>12281</v>
      </c>
      <c r="N62" s="97">
        <v>10079</v>
      </c>
      <c r="O62" s="98">
        <v>3780</v>
      </c>
      <c r="P62" s="99">
        <v>784</v>
      </c>
      <c r="Q62" s="100">
        <v>230</v>
      </c>
      <c r="R62" s="98">
        <v>432</v>
      </c>
      <c r="S62" s="95">
        <v>318</v>
      </c>
      <c r="U62" s="44" t="s">
        <v>0</v>
      </c>
      <c r="V62" s="8">
        <f>Y62/V$3</f>
        <v>3.3842042042042042</v>
      </c>
      <c r="X62" s="44" t="s">
        <v>0</v>
      </c>
      <c r="Y62" s="47">
        <f>SUM(F62:S62)</f>
        <v>112694</v>
      </c>
    </row>
    <row r="63" spans="5:26">
      <c r="E63" s="204" t="s">
        <v>1</v>
      </c>
      <c r="F63" s="101">
        <v>21244</v>
      </c>
      <c r="G63" s="102">
        <v>31499</v>
      </c>
      <c r="H63" s="103">
        <v>3666</v>
      </c>
      <c r="I63" s="104">
        <v>1066</v>
      </c>
      <c r="J63" s="105">
        <v>303</v>
      </c>
      <c r="K63" s="106">
        <v>879</v>
      </c>
      <c r="L63" s="107">
        <v>510</v>
      </c>
      <c r="M63" s="108">
        <v>12412</v>
      </c>
      <c r="N63" s="109">
        <v>6252</v>
      </c>
      <c r="O63" s="105">
        <v>1488</v>
      </c>
      <c r="P63" s="110"/>
      <c r="Q63" s="110"/>
      <c r="R63" s="111">
        <v>294</v>
      </c>
      <c r="S63" s="112">
        <v>226</v>
      </c>
      <c r="U63" s="45" t="s">
        <v>1</v>
      </c>
      <c r="V63" s="9">
        <f t="shared" ref="V63:V75" si="0">Y63/V$3</f>
        <v>2.3975675675675676</v>
      </c>
      <c r="X63" s="45" t="s">
        <v>1</v>
      </c>
      <c r="Y63" s="48">
        <f t="shared" ref="Y63:Y75" si="1">SUM(F63:S63)</f>
        <v>79839</v>
      </c>
    </row>
    <row r="64" spans="5:26">
      <c r="E64" s="204" t="s">
        <v>2</v>
      </c>
      <c r="F64" s="113">
        <v>5227</v>
      </c>
      <c r="G64" s="114">
        <v>3878</v>
      </c>
      <c r="H64" s="103">
        <v>6738</v>
      </c>
      <c r="I64" s="115">
        <v>55</v>
      </c>
      <c r="J64" s="116">
        <v>21</v>
      </c>
      <c r="K64" s="117">
        <v>158</v>
      </c>
      <c r="L64" s="118">
        <v>13</v>
      </c>
      <c r="M64" s="119">
        <v>4468</v>
      </c>
      <c r="N64" s="120">
        <v>2130</v>
      </c>
      <c r="O64" s="121">
        <v>743</v>
      </c>
      <c r="P64" s="122">
        <v>240</v>
      </c>
      <c r="Q64" s="123">
        <v>208</v>
      </c>
      <c r="R64" s="124">
        <v>14</v>
      </c>
      <c r="S64" s="125">
        <v>15</v>
      </c>
      <c r="U64" s="45" t="s">
        <v>2</v>
      </c>
      <c r="V64" s="9">
        <f t="shared" si="0"/>
        <v>0.71795795795795792</v>
      </c>
      <c r="X64" s="45" t="s">
        <v>2</v>
      </c>
      <c r="Y64" s="48">
        <f t="shared" si="1"/>
        <v>23908</v>
      </c>
    </row>
    <row r="65" spans="5:25">
      <c r="E65" s="204" t="s">
        <v>3</v>
      </c>
      <c r="F65" s="119">
        <v>1151</v>
      </c>
      <c r="G65" s="103">
        <v>982</v>
      </c>
      <c r="H65" s="126">
        <v>241</v>
      </c>
      <c r="I65" s="127">
        <v>1</v>
      </c>
      <c r="J65" s="110"/>
      <c r="K65" s="111">
        <v>1072</v>
      </c>
      <c r="L65" s="128">
        <v>414</v>
      </c>
      <c r="M65" s="129">
        <v>602</v>
      </c>
      <c r="N65" s="114">
        <v>796</v>
      </c>
      <c r="O65" s="130">
        <v>55</v>
      </c>
      <c r="P65" s="131">
        <v>5</v>
      </c>
      <c r="Q65" s="110"/>
      <c r="R65" s="132">
        <v>446</v>
      </c>
      <c r="S65" s="112">
        <v>367</v>
      </c>
      <c r="U65" s="45" t="s">
        <v>3</v>
      </c>
      <c r="V65" s="9">
        <f t="shared" si="0"/>
        <v>0.18414414414414415</v>
      </c>
      <c r="X65" s="45" t="s">
        <v>3</v>
      </c>
      <c r="Y65" s="48">
        <f t="shared" si="1"/>
        <v>6132</v>
      </c>
    </row>
    <row r="66" spans="5:25">
      <c r="E66" s="204" t="s">
        <v>4</v>
      </c>
      <c r="F66" s="133">
        <v>249</v>
      </c>
      <c r="G66" s="134">
        <v>285</v>
      </c>
      <c r="H66" s="135">
        <v>420</v>
      </c>
      <c r="I66" s="116">
        <v>1</v>
      </c>
      <c r="J66" s="110"/>
      <c r="K66" s="110"/>
      <c r="L66" s="136"/>
      <c r="M66" s="137">
        <v>170</v>
      </c>
      <c r="N66" s="138">
        <v>127</v>
      </c>
      <c r="O66" s="116">
        <v>14</v>
      </c>
      <c r="P66" s="115">
        <v>152</v>
      </c>
      <c r="Q66" s="127">
        <v>46</v>
      </c>
      <c r="R66" s="127"/>
      <c r="S66" s="136"/>
      <c r="U66" s="45" t="s">
        <v>4</v>
      </c>
      <c r="V66" s="9">
        <f t="shared" si="0"/>
        <v>4.3963963963963966E-2</v>
      </c>
      <c r="X66" s="45" t="s">
        <v>4</v>
      </c>
      <c r="Y66" s="48">
        <f t="shared" si="1"/>
        <v>1464</v>
      </c>
    </row>
    <row r="67" spans="5:25">
      <c r="E67" s="204" t="s">
        <v>5</v>
      </c>
      <c r="F67" s="129">
        <v>741</v>
      </c>
      <c r="G67" s="139">
        <v>956</v>
      </c>
      <c r="H67" s="111">
        <v>1072</v>
      </c>
      <c r="I67" s="140">
        <v>3</v>
      </c>
      <c r="J67" s="110"/>
      <c r="K67" s="127">
        <v>1</v>
      </c>
      <c r="L67" s="136"/>
      <c r="M67" s="141">
        <v>332</v>
      </c>
      <c r="N67" s="106">
        <v>421</v>
      </c>
      <c r="O67" s="142">
        <v>46</v>
      </c>
      <c r="P67" s="111">
        <v>427</v>
      </c>
      <c r="Q67" s="143">
        <v>119</v>
      </c>
      <c r="R67" s="110"/>
      <c r="S67" s="136"/>
      <c r="U67" s="45" t="s">
        <v>5</v>
      </c>
      <c r="V67" s="9">
        <f t="shared" si="0"/>
        <v>0.12366366366366366</v>
      </c>
      <c r="X67" s="45" t="s">
        <v>5</v>
      </c>
      <c r="Y67" s="48">
        <f t="shared" si="1"/>
        <v>4118</v>
      </c>
    </row>
    <row r="68" spans="5:25">
      <c r="E68" s="205" t="s">
        <v>6</v>
      </c>
      <c r="F68" s="144">
        <v>358</v>
      </c>
      <c r="G68" s="145">
        <v>595</v>
      </c>
      <c r="H68" s="146">
        <v>289</v>
      </c>
      <c r="I68" s="147"/>
      <c r="J68" s="148">
        <v>2</v>
      </c>
      <c r="K68" s="147">
        <v>1</v>
      </c>
      <c r="L68" s="149">
        <v>1</v>
      </c>
      <c r="M68" s="147"/>
      <c r="N68" s="150">
        <v>324</v>
      </c>
      <c r="O68" s="151">
        <v>6</v>
      </c>
      <c r="P68" s="152">
        <v>592</v>
      </c>
      <c r="Q68" s="153">
        <v>76</v>
      </c>
      <c r="R68" s="148"/>
      <c r="S68" s="149"/>
      <c r="U68" s="46" t="s">
        <v>6</v>
      </c>
      <c r="V68" s="10">
        <f t="shared" si="0"/>
        <v>6.7387387387387393E-2</v>
      </c>
      <c r="X68" s="46" t="s">
        <v>6</v>
      </c>
      <c r="Y68" s="49">
        <f t="shared" si="1"/>
        <v>2244</v>
      </c>
    </row>
    <row r="69" spans="5:25">
      <c r="E69" s="204" t="s">
        <v>7</v>
      </c>
      <c r="F69" s="154">
        <v>12115</v>
      </c>
      <c r="G69" s="155">
        <v>9732</v>
      </c>
      <c r="H69" s="94">
        <v>4008</v>
      </c>
      <c r="I69" s="99">
        <v>704</v>
      </c>
      <c r="J69" s="156">
        <v>219</v>
      </c>
      <c r="K69" s="98">
        <v>421</v>
      </c>
      <c r="L69" s="157">
        <v>298</v>
      </c>
      <c r="M69" s="158">
        <v>51684</v>
      </c>
      <c r="N69" s="90">
        <v>21948</v>
      </c>
      <c r="O69" s="159">
        <v>4803</v>
      </c>
      <c r="P69" s="160">
        <v>2855</v>
      </c>
      <c r="Q69" s="161">
        <v>547</v>
      </c>
      <c r="R69" s="162">
        <v>692</v>
      </c>
      <c r="S69" s="95">
        <v>311</v>
      </c>
      <c r="U69" s="44" t="s">
        <v>7</v>
      </c>
      <c r="V69" s="8">
        <f t="shared" si="0"/>
        <v>3.3134234234234232</v>
      </c>
      <c r="X69" s="44" t="s">
        <v>7</v>
      </c>
      <c r="Y69" s="47">
        <f t="shared" si="1"/>
        <v>110337</v>
      </c>
    </row>
    <row r="70" spans="5:25">
      <c r="E70" s="204" t="s">
        <v>8</v>
      </c>
      <c r="F70" s="163">
        <v>12850</v>
      </c>
      <c r="G70" s="164">
        <v>6366</v>
      </c>
      <c r="H70" s="105">
        <v>1614</v>
      </c>
      <c r="I70" s="110"/>
      <c r="J70" s="110"/>
      <c r="K70" s="111">
        <v>307</v>
      </c>
      <c r="L70" s="112">
        <v>269</v>
      </c>
      <c r="M70" s="165">
        <v>21093</v>
      </c>
      <c r="N70" s="166">
        <v>32638</v>
      </c>
      <c r="O70" s="106">
        <v>3404</v>
      </c>
      <c r="P70" s="167">
        <v>1203</v>
      </c>
      <c r="Q70" s="105">
        <v>278</v>
      </c>
      <c r="R70" s="105">
        <v>897</v>
      </c>
      <c r="S70" s="107">
        <v>470</v>
      </c>
      <c r="U70" s="45" t="s">
        <v>8</v>
      </c>
      <c r="V70" s="9">
        <f t="shared" si="0"/>
        <v>2.4441141141141141</v>
      </c>
      <c r="X70" s="45" t="s">
        <v>8</v>
      </c>
      <c r="Y70" s="48">
        <f t="shared" si="1"/>
        <v>81389</v>
      </c>
    </row>
    <row r="71" spans="5:25">
      <c r="E71" s="204" t="s">
        <v>9</v>
      </c>
      <c r="F71" s="129">
        <v>4081</v>
      </c>
      <c r="G71" s="120">
        <v>1960</v>
      </c>
      <c r="H71" s="168">
        <v>799</v>
      </c>
      <c r="I71" s="169">
        <v>272</v>
      </c>
      <c r="J71" s="170">
        <v>188</v>
      </c>
      <c r="K71" s="131">
        <v>21</v>
      </c>
      <c r="L71" s="171">
        <v>22</v>
      </c>
      <c r="M71" s="172">
        <v>5016</v>
      </c>
      <c r="N71" s="106">
        <v>3701</v>
      </c>
      <c r="O71" s="103">
        <v>7820</v>
      </c>
      <c r="P71" s="173">
        <v>94</v>
      </c>
      <c r="Q71" s="174">
        <v>19</v>
      </c>
      <c r="R71" s="175">
        <v>221</v>
      </c>
      <c r="S71" s="176">
        <v>16</v>
      </c>
      <c r="U71" s="45" t="s">
        <v>9</v>
      </c>
      <c r="V71" s="9">
        <f t="shared" si="0"/>
        <v>0.72762762762762767</v>
      </c>
      <c r="X71" s="45" t="s">
        <v>9</v>
      </c>
      <c r="Y71" s="48">
        <f t="shared" si="1"/>
        <v>24230</v>
      </c>
    </row>
    <row r="72" spans="5:25">
      <c r="E72" s="204" t="s">
        <v>10</v>
      </c>
      <c r="F72" s="129">
        <v>667</v>
      </c>
      <c r="G72" s="114">
        <v>868</v>
      </c>
      <c r="H72" s="177">
        <v>50</v>
      </c>
      <c r="I72" s="178">
        <v>4</v>
      </c>
      <c r="J72" s="110"/>
      <c r="K72" s="179">
        <v>506</v>
      </c>
      <c r="L72" s="180">
        <v>395</v>
      </c>
      <c r="M72" s="172">
        <v>1120</v>
      </c>
      <c r="N72" s="103">
        <v>1094</v>
      </c>
      <c r="O72" s="181">
        <v>244</v>
      </c>
      <c r="P72" s="110">
        <v>4</v>
      </c>
      <c r="Q72" s="110"/>
      <c r="R72" s="105">
        <v>961</v>
      </c>
      <c r="S72" s="182">
        <v>448</v>
      </c>
      <c r="U72" s="45" t="s">
        <v>10</v>
      </c>
      <c r="V72" s="9">
        <f t="shared" si="0"/>
        <v>0.19102102102102103</v>
      </c>
      <c r="X72" s="45" t="s">
        <v>10</v>
      </c>
      <c r="Y72" s="48">
        <f t="shared" si="1"/>
        <v>6361</v>
      </c>
    </row>
    <row r="73" spans="5:25">
      <c r="E73" s="204" t="s">
        <v>11</v>
      </c>
      <c r="F73" s="183">
        <v>174</v>
      </c>
      <c r="G73" s="184">
        <v>157</v>
      </c>
      <c r="H73" s="131">
        <v>11</v>
      </c>
      <c r="I73" s="115">
        <v>183</v>
      </c>
      <c r="J73" s="110">
        <v>49</v>
      </c>
      <c r="K73" s="127"/>
      <c r="L73" s="136"/>
      <c r="M73" s="185">
        <v>219</v>
      </c>
      <c r="N73" s="186">
        <v>295</v>
      </c>
      <c r="O73" s="187">
        <v>429</v>
      </c>
      <c r="P73" s="140">
        <v>1</v>
      </c>
      <c r="Q73" s="110"/>
      <c r="R73" s="188">
        <v>4</v>
      </c>
      <c r="S73" s="189">
        <v>1</v>
      </c>
      <c r="U73" s="45" t="s">
        <v>11</v>
      </c>
      <c r="V73" s="9">
        <f t="shared" si="0"/>
        <v>4.5735735735735736E-2</v>
      </c>
      <c r="X73" s="45" t="s">
        <v>11</v>
      </c>
      <c r="Y73" s="48">
        <f t="shared" si="1"/>
        <v>1523</v>
      </c>
    </row>
    <row r="74" spans="5:25">
      <c r="E74" s="204" t="s">
        <v>12</v>
      </c>
      <c r="F74" s="190">
        <v>332</v>
      </c>
      <c r="G74" s="106">
        <v>349</v>
      </c>
      <c r="H74" s="122">
        <v>40</v>
      </c>
      <c r="I74" s="111">
        <v>461</v>
      </c>
      <c r="J74" s="191">
        <v>66</v>
      </c>
      <c r="K74" s="188">
        <v>2</v>
      </c>
      <c r="L74" s="189">
        <v>1</v>
      </c>
      <c r="M74" s="129">
        <v>661</v>
      </c>
      <c r="N74" s="192">
        <v>943</v>
      </c>
      <c r="O74" s="111">
        <v>1107</v>
      </c>
      <c r="P74" s="193">
        <v>3</v>
      </c>
      <c r="Q74" s="110"/>
      <c r="R74" s="193">
        <v>3</v>
      </c>
      <c r="S74" s="136"/>
      <c r="U74" s="45" t="s">
        <v>12</v>
      </c>
      <c r="V74" s="9">
        <f t="shared" si="0"/>
        <v>0.11915915915915916</v>
      </c>
      <c r="X74" s="45" t="s">
        <v>12</v>
      </c>
      <c r="Y74" s="48">
        <f t="shared" si="1"/>
        <v>3968</v>
      </c>
    </row>
    <row r="75" spans="5:25">
      <c r="E75" s="205" t="s">
        <v>13</v>
      </c>
      <c r="F75" s="147"/>
      <c r="G75" s="150">
        <v>326</v>
      </c>
      <c r="H75" s="151">
        <v>10</v>
      </c>
      <c r="I75" s="194">
        <v>548</v>
      </c>
      <c r="J75" s="195">
        <v>72</v>
      </c>
      <c r="K75" s="148"/>
      <c r="L75" s="196">
        <v>1</v>
      </c>
      <c r="M75" s="144">
        <v>279</v>
      </c>
      <c r="N75" s="197">
        <v>641</v>
      </c>
      <c r="O75" s="198">
        <v>291</v>
      </c>
      <c r="P75" s="199">
        <v>1</v>
      </c>
      <c r="Q75" s="147"/>
      <c r="R75" s="147">
        <v>3</v>
      </c>
      <c r="S75" s="196"/>
      <c r="U75" s="46" t="s">
        <v>13</v>
      </c>
      <c r="V75" s="10">
        <f t="shared" si="0"/>
        <v>6.5225225225225225E-2</v>
      </c>
      <c r="X75" s="46" t="s">
        <v>13</v>
      </c>
      <c r="Y75" s="49">
        <f t="shared" si="1"/>
        <v>2172</v>
      </c>
    </row>
    <row r="77" spans="5:25">
      <c r="E77" s="227" t="s">
        <v>35</v>
      </c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9"/>
      <c r="V77" s="54">
        <f>Y77/V$3</f>
        <v>13.825195195195196</v>
      </c>
      <c r="X77" s="53" t="s">
        <v>20</v>
      </c>
      <c r="Y77" s="51">
        <f>SUM(Y62:Y75)</f>
        <v>460379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3.5349284997914614E-2</v>
      </c>
      <c r="G80" s="31">
        <v>5.229744762448741E-2</v>
      </c>
      <c r="H80" s="31">
        <v>8.9927382107299572E-2</v>
      </c>
      <c r="I80" s="31">
        <v>4.2001461104728785E-2</v>
      </c>
      <c r="J80" s="31">
        <v>4.1823326077458263E-2</v>
      </c>
      <c r="K80" s="31">
        <v>5.803556777231942E-2</v>
      </c>
      <c r="L80" s="33">
        <v>8.9952125344323466E-2</v>
      </c>
      <c r="M80" s="29">
        <v>0.11224926453765173</v>
      </c>
      <c r="N80" s="31">
        <v>0.10980183460223514</v>
      </c>
      <c r="O80" s="31">
        <v>0.11331726108752907</v>
      </c>
      <c r="P80" s="31">
        <v>9.5401457406149553E-2</v>
      </c>
      <c r="Q80" s="31">
        <v>8.7071777430842254E-2</v>
      </c>
      <c r="R80" s="31">
        <v>8.1534331831504964E-2</v>
      </c>
      <c r="S80" s="33">
        <v>7.8812521616325154E-2</v>
      </c>
    </row>
    <row r="81" spans="5:19">
      <c r="E81" s="45" t="s">
        <v>1</v>
      </c>
      <c r="F81" s="32">
        <v>5.7008304600223499E-2</v>
      </c>
      <c r="G81" s="30">
        <v>2.7145536686942615E-2</v>
      </c>
      <c r="H81" s="30">
        <v>9.2610177704238753E-2</v>
      </c>
      <c r="I81" s="30">
        <v>6.2591613097308735E-2</v>
      </c>
      <c r="J81" s="30">
        <v>9.5808529954572813E-2</v>
      </c>
      <c r="K81" s="30">
        <v>0.10757495377450212</v>
      </c>
      <c r="L81" s="34">
        <v>7.5117219118752049E-2</v>
      </c>
      <c r="M81" s="32">
        <v>9.2850258730534513E-2</v>
      </c>
      <c r="N81" s="30">
        <v>9.3440362514459779E-2</v>
      </c>
      <c r="O81" s="30">
        <v>0.11327098421677143</v>
      </c>
      <c r="P81" s="30">
        <v>0.11409687914727054</v>
      </c>
      <c r="Q81" s="30">
        <v>0.13049209584061289</v>
      </c>
      <c r="R81" s="30">
        <v>9.3826783461699745E-2</v>
      </c>
      <c r="S81" s="34">
        <v>8.182559408512767E-2</v>
      </c>
    </row>
    <row r="82" spans="5:19">
      <c r="E82" s="45" t="s">
        <v>2</v>
      </c>
      <c r="F82" s="32">
        <v>0.11421581007221074</v>
      </c>
      <c r="G82" s="30">
        <v>9.3154928555220257E-2</v>
      </c>
      <c r="H82" s="30">
        <v>2.9970810528062417E-2</v>
      </c>
      <c r="I82" s="30">
        <v>0.12367528619867171</v>
      </c>
      <c r="J82" s="30">
        <v>0.11516873766414043</v>
      </c>
      <c r="K82" s="30">
        <v>9.89706282214219E-2</v>
      </c>
      <c r="L82" s="34">
        <v>0.1261411625532704</v>
      </c>
      <c r="M82" s="32">
        <v>0.12077302367819219</v>
      </c>
      <c r="N82" s="30">
        <v>0.12324073959468783</v>
      </c>
      <c r="O82" s="30">
        <v>0.14881048424752444</v>
      </c>
      <c r="P82" s="30">
        <v>8.4003969294806718E-2</v>
      </c>
      <c r="Q82" s="30">
        <v>5.4828354303729218E-2</v>
      </c>
      <c r="R82" s="30">
        <v>0.1456697556542263</v>
      </c>
      <c r="S82" s="34">
        <v>0.12434491011604853</v>
      </c>
    </row>
    <row r="83" spans="5:19">
      <c r="E83" s="45" t="s">
        <v>3</v>
      </c>
      <c r="F83" s="32">
        <v>7.4691776024306003E-2</v>
      </c>
      <c r="G83" s="30">
        <v>7.4576973075573885E-2</v>
      </c>
      <c r="H83" s="30">
        <v>9.1996465458448667E-2</v>
      </c>
      <c r="I83" s="30">
        <v>3.9725937085983216E-2</v>
      </c>
      <c r="J83" s="30">
        <v>0.15460838515453837</v>
      </c>
      <c r="K83" s="30">
        <v>5.6406581997651209E-3</v>
      </c>
      <c r="L83" s="34">
        <v>7.8972890286507016E-3</v>
      </c>
      <c r="M83" s="32">
        <v>0.1023616221322831</v>
      </c>
      <c r="N83" s="30">
        <v>8.8543252217770971E-2</v>
      </c>
      <c r="O83" s="30">
        <v>0.12941146264604159</v>
      </c>
      <c r="P83" s="30">
        <v>4.9492499162440987E-2</v>
      </c>
      <c r="Q83" s="30">
        <v>0.12880876907072944</v>
      </c>
      <c r="R83" s="30">
        <v>1.4112285392559291E-2</v>
      </c>
      <c r="S83" s="34">
        <v>1.7541367117102167E-2</v>
      </c>
    </row>
    <row r="84" spans="5:19">
      <c r="E84" s="45" t="s">
        <v>4</v>
      </c>
      <c r="F84" s="32">
        <v>0.11817910080743312</v>
      </c>
      <c r="G84" s="30">
        <v>9.4534198729694152E-2</v>
      </c>
      <c r="H84" s="30">
        <v>6.4417907795778162E-2</v>
      </c>
      <c r="I84" s="30">
        <v>0.15241245428954711</v>
      </c>
      <c r="J84" s="30">
        <v>0.10677792981545811</v>
      </c>
      <c r="K84" s="30">
        <v>0.13306948976076999</v>
      </c>
      <c r="L84" s="34">
        <v>0.13215425167919648</v>
      </c>
      <c r="M84" s="32">
        <v>0.12660986693877752</v>
      </c>
      <c r="N84" s="30">
        <v>0.10899513767586763</v>
      </c>
      <c r="O84" s="30">
        <v>0.12511143199876104</v>
      </c>
      <c r="P84" s="30">
        <v>5.2424761544394169E-2</v>
      </c>
      <c r="Q84" s="30">
        <v>5.1018912968006862E-2</v>
      </c>
      <c r="R84" s="30">
        <v>0.14844947323526944</v>
      </c>
      <c r="S84" s="34">
        <v>0.14764422704173547</v>
      </c>
    </row>
    <row r="85" spans="5:19">
      <c r="E85" s="45" t="s">
        <v>5</v>
      </c>
      <c r="F85" s="32">
        <v>0.11623514774407165</v>
      </c>
      <c r="G85" s="30">
        <v>9.1411540838215233E-2</v>
      </c>
      <c r="H85" s="30">
        <v>3.866890069072642E-2</v>
      </c>
      <c r="I85" s="30">
        <v>9.5505017371184581E-2</v>
      </c>
      <c r="J85" s="30">
        <v>0.1346705897436338</v>
      </c>
      <c r="K85" s="30">
        <v>0.12081786241887085</v>
      </c>
      <c r="L85" s="34">
        <v>0.15664342662580824</v>
      </c>
      <c r="M85" s="32">
        <v>0.12710193235635914</v>
      </c>
      <c r="N85" s="30">
        <v>0.11425459971937298</v>
      </c>
      <c r="O85" s="30">
        <v>0.14604846772895214</v>
      </c>
      <c r="P85" s="30">
        <v>6.0871150623006312E-2</v>
      </c>
      <c r="Q85" s="30">
        <v>3.9614235903903457E-2</v>
      </c>
      <c r="R85" s="30">
        <v>0.17419269054028297</v>
      </c>
      <c r="S85" s="34">
        <v>0.17146734043026299</v>
      </c>
    </row>
    <row r="86" spans="5:19">
      <c r="E86" s="46" t="s">
        <v>6</v>
      </c>
      <c r="F86" s="37">
        <v>0.12005682650076695</v>
      </c>
      <c r="G86" s="36">
        <v>7.5698316649403616E-2</v>
      </c>
      <c r="H86" s="36">
        <v>7.504613260477519E-2</v>
      </c>
      <c r="I86" s="36">
        <v>0.1461531417018086</v>
      </c>
      <c r="J86" s="36">
        <v>7.5086285378677078E-2</v>
      </c>
      <c r="K86" s="36">
        <v>0.14454551730830684</v>
      </c>
      <c r="L86" s="35">
        <v>0.14176430644163437</v>
      </c>
      <c r="M86" s="37">
        <v>0.12417192937554601</v>
      </c>
      <c r="N86" s="36">
        <v>0.10326302133282306</v>
      </c>
      <c r="O86" s="36">
        <v>0.14918991137692569</v>
      </c>
      <c r="P86" s="36">
        <v>2.6640231210400277E-2</v>
      </c>
      <c r="Q86" s="36">
        <v>4.2449244344671851E-2</v>
      </c>
      <c r="R86" s="36">
        <v>0.11683678184620874</v>
      </c>
      <c r="S86" s="35">
        <v>0.14253364074356262</v>
      </c>
    </row>
    <row r="87" spans="5:19">
      <c r="E87" s="44" t="s">
        <v>7</v>
      </c>
      <c r="F87" s="11">
        <v>0.11126162248419916</v>
      </c>
      <c r="G87" s="12">
        <v>0.11077157981106654</v>
      </c>
      <c r="H87" s="12">
        <v>0.12079950591752904</v>
      </c>
      <c r="I87" s="12">
        <v>9.4897789521845313E-2</v>
      </c>
      <c r="J87" s="12">
        <v>8.7438487246140964E-2</v>
      </c>
      <c r="K87" s="12">
        <v>8.3030886295272846E-2</v>
      </c>
      <c r="L87" s="13">
        <v>9.5300052299092081E-2</v>
      </c>
      <c r="M87" s="11">
        <v>3.4688400734355355E-2</v>
      </c>
      <c r="N87" s="12">
        <v>4.9450836324300106E-2</v>
      </c>
      <c r="O87" s="12">
        <v>8.4838828107063072E-2</v>
      </c>
      <c r="P87" s="12">
        <v>3.6076695107152841E-2</v>
      </c>
      <c r="Q87" s="12">
        <v>4.1106787005846496E-2</v>
      </c>
      <c r="R87" s="12">
        <v>6.307142797341736E-2</v>
      </c>
      <c r="S87" s="13">
        <v>6.9528361746073256E-2</v>
      </c>
    </row>
    <row r="88" spans="5:19">
      <c r="E88" s="45" t="s">
        <v>8</v>
      </c>
      <c r="F88" s="14">
        <v>9.5974135008296865E-2</v>
      </c>
      <c r="G88" s="15">
        <v>9.0942552203637506E-2</v>
      </c>
      <c r="H88" s="15">
        <v>0.10906140935991396</v>
      </c>
      <c r="I88" s="15">
        <v>0.10731799165106994</v>
      </c>
      <c r="J88" s="15">
        <v>0.12200489019421171</v>
      </c>
      <c r="K88" s="15">
        <v>0.10981598047538597</v>
      </c>
      <c r="L88" s="16">
        <v>8.308533760751162E-2</v>
      </c>
      <c r="M88" s="14">
        <v>5.8452870417070771E-2</v>
      </c>
      <c r="N88" s="15">
        <v>2.7884311079242306E-2</v>
      </c>
      <c r="O88" s="15">
        <v>9.2920196848804787E-2</v>
      </c>
      <c r="P88" s="15">
        <v>6.5844625886769995E-2</v>
      </c>
      <c r="Q88" s="15">
        <v>9.7047407266313571E-2</v>
      </c>
      <c r="R88" s="15">
        <v>8.7157650133427092E-2</v>
      </c>
      <c r="S88" s="16">
        <v>7.8232246230260871E-2</v>
      </c>
    </row>
    <row r="89" spans="5:19">
      <c r="E89" s="45" t="s">
        <v>9</v>
      </c>
      <c r="F89" s="14">
        <v>0.12543278426663232</v>
      </c>
      <c r="G89" s="15">
        <v>0.12107516177983481</v>
      </c>
      <c r="H89" s="15">
        <v>0.14071591773007314</v>
      </c>
      <c r="I89" s="15">
        <v>8.8324275339077385E-2</v>
      </c>
      <c r="J89" s="15">
        <v>5.527833129158017E-2</v>
      </c>
      <c r="K89" s="15">
        <v>0.13339410942979188</v>
      </c>
      <c r="L89" s="16">
        <v>0.1355819935884186</v>
      </c>
      <c r="M89" s="14">
        <v>0.10593309843821165</v>
      </c>
      <c r="N89" s="15">
        <v>9.2925155796703102E-2</v>
      </c>
      <c r="O89" s="15">
        <v>2.5511929950207953E-2</v>
      </c>
      <c r="P89" s="15">
        <v>0.11830375633508591</v>
      </c>
      <c r="Q89" s="15">
        <v>0.13212833459460158</v>
      </c>
      <c r="R89" s="15">
        <v>9.3093368945685387E-2</v>
      </c>
      <c r="S89" s="16">
        <v>9.6745418563784824E-2</v>
      </c>
    </row>
    <row r="90" spans="5:19">
      <c r="E90" s="45" t="s">
        <v>10</v>
      </c>
      <c r="F90" s="14">
        <v>0.10177412701570276</v>
      </c>
      <c r="G90" s="15">
        <v>9.3349930575084783E-2</v>
      </c>
      <c r="H90" s="15">
        <v>0.12529514287577237</v>
      </c>
      <c r="I90" s="15">
        <v>4.5334131833193132E-2</v>
      </c>
      <c r="J90" s="15">
        <v>0.1393781859365292</v>
      </c>
      <c r="K90" s="15">
        <v>1.5054760895169526E-2</v>
      </c>
      <c r="L90" s="16">
        <v>1.4733259719249764E-2</v>
      </c>
      <c r="M90" s="14">
        <v>7.6713453048828567E-2</v>
      </c>
      <c r="N90" s="15">
        <v>7.0909426407061146E-2</v>
      </c>
      <c r="O90" s="15">
        <v>9.9127420796530613E-2</v>
      </c>
      <c r="P90" s="15">
        <v>3.5409651139011462E-2</v>
      </c>
      <c r="Q90" s="15">
        <v>0.14198820340231796</v>
      </c>
      <c r="R90" s="15">
        <v>5.9736423583025781E-3</v>
      </c>
      <c r="S90" s="16">
        <v>6.9498936473137317E-3</v>
      </c>
    </row>
    <row r="91" spans="5:19">
      <c r="E91" s="45" t="s">
        <v>11</v>
      </c>
      <c r="F91" s="14">
        <v>0.11856543467237685</v>
      </c>
      <c r="G91" s="15">
        <v>0.11880102373666111</v>
      </c>
      <c r="H91" s="15">
        <v>0.138615573696314</v>
      </c>
      <c r="I91" s="15">
        <v>4.7301877689874837E-2</v>
      </c>
      <c r="J91" s="15">
        <v>4.704604358958487E-2</v>
      </c>
      <c r="K91" s="15">
        <v>0.1333222906254509</v>
      </c>
      <c r="L91" s="16">
        <v>0.10521973698197114</v>
      </c>
      <c r="M91" s="14">
        <v>0.11984885347381861</v>
      </c>
      <c r="N91" s="15">
        <v>0.10781424910004613</v>
      </c>
      <c r="O91" s="15">
        <v>6.7123377368433046E-2</v>
      </c>
      <c r="P91" s="15">
        <v>0.12496792292108087</v>
      </c>
      <c r="Q91" s="15">
        <v>7.7904890312620406E-2</v>
      </c>
      <c r="R91" s="15">
        <v>0.1656699952642085</v>
      </c>
      <c r="S91" s="16">
        <v>0.14985202839826026</v>
      </c>
    </row>
    <row r="92" spans="5:19">
      <c r="E92" s="45" t="s">
        <v>12</v>
      </c>
      <c r="F92" s="14">
        <v>0.12703458724693081</v>
      </c>
      <c r="G92" s="15">
        <v>0.11185040777015562</v>
      </c>
      <c r="H92" s="15">
        <v>0.13333108580383715</v>
      </c>
      <c r="I92" s="15">
        <v>6.65284760509747E-2</v>
      </c>
      <c r="J92" s="15">
        <v>7.526525540368674E-2</v>
      </c>
      <c r="K92" s="15">
        <v>0.16049356504033113</v>
      </c>
      <c r="L92" s="16">
        <v>0.15136485063486985</v>
      </c>
      <c r="M92" s="14">
        <v>0.11372893196581031</v>
      </c>
      <c r="N92" s="15">
        <v>9.6673124715206435E-2</v>
      </c>
      <c r="O92" s="15">
        <v>3.5909685910508748E-2</v>
      </c>
      <c r="P92" s="15">
        <v>0.13842310257738594</v>
      </c>
      <c r="Q92" s="15">
        <v>0.14234731420923805</v>
      </c>
      <c r="R92" s="15">
        <v>0.15105118024136394</v>
      </c>
      <c r="S92" s="16">
        <v>0.12935190535023577</v>
      </c>
    </row>
    <row r="93" spans="5:19">
      <c r="E93" s="46" t="s">
        <v>13</v>
      </c>
      <c r="F93" s="17">
        <v>0.10344241954589985</v>
      </c>
      <c r="G93" s="18">
        <v>7.0496660200144945E-2</v>
      </c>
      <c r="H93" s="18">
        <v>0.17197723445555307</v>
      </c>
      <c r="I93" s="18">
        <v>4.6933863614687203E-3</v>
      </c>
      <c r="J93" s="18">
        <v>1.7326205725300251E-2</v>
      </c>
      <c r="K93" s="18">
        <v>0.12938594300991207</v>
      </c>
      <c r="L93" s="19">
        <v>4.6551930623429237E-2</v>
      </c>
      <c r="M93" s="17">
        <v>9.2506646205168006E-2</v>
      </c>
      <c r="N93" s="18">
        <v>4.489617612657841E-2</v>
      </c>
      <c r="O93" s="18">
        <v>3.37512007329916E-2</v>
      </c>
      <c r="P93" s="18">
        <v>0.11140909541692171</v>
      </c>
      <c r="Q93" s="18">
        <v>0.12062003948547219</v>
      </c>
      <c r="R93" s="18">
        <v>7.2410571945692934E-2</v>
      </c>
      <c r="S93" s="19">
        <v>5.9052608196395795E-2</v>
      </c>
    </row>
    <row r="95" spans="5:19">
      <c r="E95" s="227" t="s">
        <v>36</v>
      </c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9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5.8729990281492402E-2</v>
      </c>
      <c r="G98" s="31">
        <v>4.8185387005379797E-2</v>
      </c>
      <c r="H98" s="31">
        <v>8.9877016161611603E-2</v>
      </c>
      <c r="I98" s="31">
        <v>7.2075370501057598E-3</v>
      </c>
      <c r="J98" s="31">
        <v>1.60658088235291E-3</v>
      </c>
      <c r="K98" s="31">
        <v>3.8641466666666699E-3</v>
      </c>
      <c r="L98" s="33">
        <v>1.65284375E-2</v>
      </c>
      <c r="M98" s="29">
        <v>0.17774087370734901</v>
      </c>
      <c r="N98" s="31">
        <v>0.14029916162317099</v>
      </c>
      <c r="O98" s="31">
        <v>0.115857092592591</v>
      </c>
      <c r="P98" s="31">
        <v>1.29945663265305E-2</v>
      </c>
      <c r="Q98" s="31">
        <v>4.61999999999998E-4</v>
      </c>
      <c r="R98" s="31">
        <v>6.3178935185185204E-3</v>
      </c>
      <c r="S98" s="33">
        <v>9.5833018867924492E-3</v>
      </c>
    </row>
    <row r="99" spans="5:19">
      <c r="E99" s="45" t="s">
        <v>1</v>
      </c>
      <c r="F99" s="32">
        <v>6.33967110713506E-2</v>
      </c>
      <c r="G99" s="30">
        <v>2.6290711451146299E-2</v>
      </c>
      <c r="H99" s="30">
        <v>6.7454380796510297E-2</v>
      </c>
      <c r="I99" s="30">
        <v>2.6207786116322698E-3</v>
      </c>
      <c r="J99" s="30">
        <v>9.3227722772277295E-4</v>
      </c>
      <c r="K99" s="30">
        <v>1.11114903299203E-3</v>
      </c>
      <c r="L99" s="34">
        <v>1.8174117647058699E-3</v>
      </c>
      <c r="M99" s="32">
        <v>0.12927619722848199</v>
      </c>
      <c r="N99" s="30">
        <v>8.20942066538662E-2</v>
      </c>
      <c r="O99" s="30">
        <v>0.102539442204302</v>
      </c>
      <c r="P99" s="30"/>
      <c r="Q99" s="30"/>
      <c r="R99" s="30">
        <v>1.90636054421767E-3</v>
      </c>
      <c r="S99" s="34">
        <v>4.4486725663716699E-3</v>
      </c>
    </row>
    <row r="100" spans="5:19">
      <c r="E100" s="45" t="s">
        <v>2</v>
      </c>
      <c r="F100" s="32">
        <v>0.17962432561698399</v>
      </c>
      <c r="G100" s="30">
        <v>0.106615936049508</v>
      </c>
      <c r="H100" s="30">
        <v>4.7482564559215901E-2</v>
      </c>
      <c r="I100" s="30">
        <v>2.8524363636363601E-2</v>
      </c>
      <c r="J100" s="30">
        <v>8.0952380952380902E-4</v>
      </c>
      <c r="K100" s="30">
        <v>1.2363037974683499E-2</v>
      </c>
      <c r="L100" s="34">
        <v>7.0691538461538403E-2</v>
      </c>
      <c r="M100" s="32">
        <v>0.204534724709039</v>
      </c>
      <c r="N100" s="30">
        <v>0.17992435680751101</v>
      </c>
      <c r="O100" s="30">
        <v>0.159789865410498</v>
      </c>
      <c r="P100" s="30">
        <v>2.0897499999999999E-2</v>
      </c>
      <c r="Q100" s="30">
        <v>4.4357692307692301E-3</v>
      </c>
      <c r="R100" s="30">
        <v>7.8430714285714201E-2</v>
      </c>
      <c r="S100" s="34">
        <v>3.6133333333333302E-2</v>
      </c>
    </row>
    <row r="101" spans="5:19">
      <c r="E101" s="45" t="s">
        <v>3</v>
      </c>
      <c r="F101" s="32">
        <v>2.9646272806255199E-2</v>
      </c>
      <c r="G101" s="30">
        <v>2.5997230142566E-2</v>
      </c>
      <c r="H101" s="30">
        <v>3.8960497925311102E-2</v>
      </c>
      <c r="I101" s="30">
        <v>1.0000000000000001E-5</v>
      </c>
      <c r="J101" s="30"/>
      <c r="K101" s="30">
        <v>5.0376026119403096E-3</v>
      </c>
      <c r="L101" s="34">
        <v>1.10768599033816E-2</v>
      </c>
      <c r="M101" s="32">
        <v>4.3744485049833602E-2</v>
      </c>
      <c r="N101" s="30">
        <v>2.9509874371859101E-2</v>
      </c>
      <c r="O101" s="30">
        <v>3.9401454545454503E-2</v>
      </c>
      <c r="P101" s="30">
        <v>2.0599999999999999E-4</v>
      </c>
      <c r="Q101" s="30"/>
      <c r="R101" s="30">
        <v>2.55094843049327E-2</v>
      </c>
      <c r="S101" s="34">
        <v>1.3983487738419601E-2</v>
      </c>
    </row>
    <row r="102" spans="5:19">
      <c r="E102" s="45" t="s">
        <v>4</v>
      </c>
      <c r="F102" s="32">
        <v>5.9322570281124302E-2</v>
      </c>
      <c r="G102" s="30">
        <v>5.4496807017543697E-2</v>
      </c>
      <c r="H102" s="30">
        <v>1.5174714285714101E-2</v>
      </c>
      <c r="I102" s="30">
        <v>1.0000000000000001E-5</v>
      </c>
      <c r="J102" s="30"/>
      <c r="K102" s="30"/>
      <c r="L102" s="34"/>
      <c r="M102" s="32">
        <v>0.108486411764705</v>
      </c>
      <c r="N102" s="30">
        <v>3.0736299212598399E-2</v>
      </c>
      <c r="O102" s="30">
        <v>0.23485928571428499</v>
      </c>
      <c r="P102" s="30">
        <v>4.87026315789473E-3</v>
      </c>
      <c r="Q102" s="30">
        <v>9.7434782608695598E-4</v>
      </c>
      <c r="R102" s="30"/>
      <c r="S102" s="34"/>
    </row>
    <row r="103" spans="5:19">
      <c r="E103" s="45" t="s">
        <v>5</v>
      </c>
      <c r="F103" s="32">
        <v>6.3936909581646495E-2</v>
      </c>
      <c r="G103" s="30">
        <v>4.1927081589958198E-2</v>
      </c>
      <c r="H103" s="30">
        <v>1.1346865671641599E-2</v>
      </c>
      <c r="I103" s="30">
        <v>3.3156699999999999</v>
      </c>
      <c r="J103" s="30"/>
      <c r="K103" s="30">
        <v>3.0000000000000001E-3</v>
      </c>
      <c r="L103" s="34"/>
      <c r="M103" s="32">
        <v>0.11809298192771001</v>
      </c>
      <c r="N103" s="30">
        <v>5.6006674584322798E-2</v>
      </c>
      <c r="O103" s="30">
        <v>0.11004369565217299</v>
      </c>
      <c r="P103" s="30">
        <v>2.0737751756440201E-2</v>
      </c>
      <c r="Q103" s="30">
        <v>1.2842016806722601E-3</v>
      </c>
      <c r="R103" s="30"/>
      <c r="S103" s="34"/>
    </row>
    <row r="104" spans="5:19">
      <c r="E104" s="46" t="s">
        <v>6</v>
      </c>
      <c r="F104" s="37">
        <v>3.3362653631284697E-2</v>
      </c>
      <c r="G104" s="36">
        <v>2.1321630252100699E-2</v>
      </c>
      <c r="H104" s="36">
        <v>9.7003806228373596E-3</v>
      </c>
      <c r="I104" s="36"/>
      <c r="J104" s="36">
        <v>1.49E-3</v>
      </c>
      <c r="K104" s="36">
        <v>0.17</v>
      </c>
      <c r="L104" s="35">
        <v>1.0000000000000001E-5</v>
      </c>
      <c r="M104" s="37"/>
      <c r="N104" s="36">
        <v>1.7603827160493701E-2</v>
      </c>
      <c r="O104" s="36">
        <v>5.3333333333333297E-3</v>
      </c>
      <c r="P104" s="36">
        <v>1.6427094594594498E-2</v>
      </c>
      <c r="Q104" s="36">
        <v>1.7880263157894699E-3</v>
      </c>
      <c r="R104" s="36"/>
      <c r="S104" s="35"/>
    </row>
    <row r="105" spans="5:19">
      <c r="E105" s="44" t="s">
        <v>7</v>
      </c>
      <c r="F105" s="11">
        <v>0.17739044160131701</v>
      </c>
      <c r="G105" s="12">
        <v>0.141252731196049</v>
      </c>
      <c r="H105" s="12">
        <v>0.13014620009979699</v>
      </c>
      <c r="I105" s="12">
        <v>1.47795170454545E-2</v>
      </c>
      <c r="J105" s="12">
        <v>4.5652968036529601E-4</v>
      </c>
      <c r="K105" s="12">
        <v>8.7517102137767405E-3</v>
      </c>
      <c r="L105" s="13">
        <v>8.7860067114093904E-3</v>
      </c>
      <c r="M105" s="11">
        <v>5.6940163880529103E-2</v>
      </c>
      <c r="N105" s="12">
        <v>4.57551043375145E-2</v>
      </c>
      <c r="O105" s="12">
        <v>7.8908944409741499E-2</v>
      </c>
      <c r="P105" s="12">
        <v>8.1898458844131394E-3</v>
      </c>
      <c r="Q105" s="12">
        <v>4.8958135283363796E-3</v>
      </c>
      <c r="R105" s="12">
        <v>2.0971676300577998E-3</v>
      </c>
      <c r="S105" s="13">
        <v>1.5689389067523998E-2</v>
      </c>
    </row>
    <row r="106" spans="5:19">
      <c r="E106" s="45" t="s">
        <v>8</v>
      </c>
      <c r="F106" s="14">
        <v>0.125087535408554</v>
      </c>
      <c r="G106" s="15">
        <v>7.7646996544137106E-2</v>
      </c>
      <c r="H106" s="15">
        <v>0.138585433705081</v>
      </c>
      <c r="I106" s="15"/>
      <c r="J106" s="15"/>
      <c r="K106" s="15">
        <v>5.6464169381107501E-3</v>
      </c>
      <c r="L106" s="16">
        <v>1.3160966542750899E-2</v>
      </c>
      <c r="M106" s="14">
        <v>6.7559793770435E-2</v>
      </c>
      <c r="N106" s="15">
        <v>2.7494515595307099E-2</v>
      </c>
      <c r="O106" s="15">
        <v>5.6141248531141698E-2</v>
      </c>
      <c r="P106" s="15">
        <v>2.96772236076476E-3</v>
      </c>
      <c r="Q106" s="15">
        <v>8.9417266187050495E-4</v>
      </c>
      <c r="R106" s="15">
        <v>8.7521739130434599E-4</v>
      </c>
      <c r="S106" s="16">
        <v>1.8863617021276601E-3</v>
      </c>
    </row>
    <row r="107" spans="5:19">
      <c r="E107" s="45" t="s">
        <v>9</v>
      </c>
      <c r="F107" s="14">
        <v>0.178291350159272</v>
      </c>
      <c r="G107" s="15">
        <v>0.149338622448979</v>
      </c>
      <c r="H107" s="15">
        <v>0.20484091364205201</v>
      </c>
      <c r="I107" s="15">
        <v>2.32569117647058E-2</v>
      </c>
      <c r="J107" s="15">
        <v>1.22745744680851E-2</v>
      </c>
      <c r="K107" s="15">
        <v>3.52371428571428E-2</v>
      </c>
      <c r="L107" s="16">
        <v>0.44708999999999999</v>
      </c>
      <c r="M107" s="14">
        <v>0.148850382775116</v>
      </c>
      <c r="N107" s="15">
        <v>9.7186133477437306E-2</v>
      </c>
      <c r="O107" s="15">
        <v>3.57783081841445E-2</v>
      </c>
      <c r="P107" s="15">
        <v>5.2750851063829797E-2</v>
      </c>
      <c r="Q107" s="15">
        <v>1.1594736842105199E-3</v>
      </c>
      <c r="R107" s="15">
        <v>8.4268325791855003E-3</v>
      </c>
      <c r="S107" s="16">
        <v>5.1499375E-2</v>
      </c>
    </row>
    <row r="108" spans="5:19">
      <c r="E108" s="45" t="s">
        <v>10</v>
      </c>
      <c r="F108" s="14">
        <v>5.1841244377810798E-2</v>
      </c>
      <c r="G108" s="15">
        <v>2.70802304147463E-2</v>
      </c>
      <c r="H108" s="15">
        <v>0.19244120000000001</v>
      </c>
      <c r="I108" s="15">
        <v>0.82725749999999998</v>
      </c>
      <c r="J108" s="15"/>
      <c r="K108" s="15">
        <v>7.2376284584980202E-3</v>
      </c>
      <c r="L108" s="16">
        <v>2.0780962025316398E-2</v>
      </c>
      <c r="M108" s="14">
        <v>2.7041499999999701E-2</v>
      </c>
      <c r="N108" s="15">
        <v>2.4673510054844399E-2</v>
      </c>
      <c r="O108" s="15">
        <v>9.8139344262294995E-3</v>
      </c>
      <c r="P108" s="15">
        <v>2.5750000000000002E-4</v>
      </c>
      <c r="Q108" s="15"/>
      <c r="R108" s="15">
        <v>7.0731425598334801E-3</v>
      </c>
      <c r="S108" s="16">
        <v>9.0568080357143095E-3</v>
      </c>
    </row>
    <row r="109" spans="5:19">
      <c r="E109" s="45" t="s">
        <v>11</v>
      </c>
      <c r="F109" s="14">
        <v>7.5134655172413703E-2</v>
      </c>
      <c r="G109" s="15">
        <v>5.8343566878980797E-2</v>
      </c>
      <c r="H109" s="15">
        <v>0.401541818181818</v>
      </c>
      <c r="I109" s="15">
        <v>2.9225136612021701E-3</v>
      </c>
      <c r="J109" s="15">
        <v>1.0348979591836701E-3</v>
      </c>
      <c r="K109" s="15"/>
      <c r="L109" s="16"/>
      <c r="M109" s="14">
        <v>6.0984931506849201E-2</v>
      </c>
      <c r="N109" s="15">
        <v>4.2739932203389598E-2</v>
      </c>
      <c r="O109" s="15">
        <v>1.0374172494172501E-2</v>
      </c>
      <c r="P109" s="15">
        <v>7.6029999999999998</v>
      </c>
      <c r="Q109" s="15"/>
      <c r="R109" s="15">
        <v>5.6752499999999997E-2</v>
      </c>
      <c r="S109" s="16">
        <v>1E-3</v>
      </c>
    </row>
    <row r="110" spans="5:19">
      <c r="E110" s="45" t="s">
        <v>12</v>
      </c>
      <c r="F110" s="14">
        <v>0.140301777108433</v>
      </c>
      <c r="G110" s="15">
        <v>5.64416905444124E-2</v>
      </c>
      <c r="H110" s="15">
        <v>0.15692500000000001</v>
      </c>
      <c r="I110" s="15">
        <v>1.5333752711496699E-2</v>
      </c>
      <c r="J110" s="15">
        <v>1.7124242424242399E-3</v>
      </c>
      <c r="K110" s="15">
        <v>4.8000000000000001E-2</v>
      </c>
      <c r="L110" s="16">
        <v>1.98E-3</v>
      </c>
      <c r="M110" s="14">
        <v>6.1789727685325202E-2</v>
      </c>
      <c r="N110" s="15">
        <v>3.8673446447507802E-2</v>
      </c>
      <c r="O110" s="15">
        <v>9.7114814814813506E-3</v>
      </c>
      <c r="P110" s="15">
        <v>2.3990000000000001E-2</v>
      </c>
      <c r="Q110" s="15"/>
      <c r="R110" s="15">
        <v>4.3333333333333297E-3</v>
      </c>
      <c r="S110" s="16"/>
    </row>
    <row r="111" spans="5:19">
      <c r="E111" s="46" t="s">
        <v>13</v>
      </c>
      <c r="F111" s="17"/>
      <c r="G111" s="18">
        <v>1.1264202453987701E-2</v>
      </c>
      <c r="H111" s="18">
        <v>9.8799999999999999E-2</v>
      </c>
      <c r="I111" s="18">
        <v>1.9449489051094799E-2</v>
      </c>
      <c r="J111" s="18">
        <v>1.0530555555555499E-3</v>
      </c>
      <c r="K111" s="18"/>
      <c r="L111" s="19">
        <v>1.02</v>
      </c>
      <c r="M111" s="17">
        <v>2.7502293906809899E-2</v>
      </c>
      <c r="N111" s="18">
        <v>1.57952574102962E-2</v>
      </c>
      <c r="O111" s="18">
        <v>1.31675257731958E-2</v>
      </c>
      <c r="P111" s="18">
        <v>1.0000000000000001E-5</v>
      </c>
      <c r="Q111" s="18"/>
      <c r="R111" s="18">
        <v>1.98666666666666E-3</v>
      </c>
      <c r="S111" s="19"/>
    </row>
    <row r="113" spans="5:19">
      <c r="E113" s="40" t="s">
        <v>21</v>
      </c>
      <c r="F113" s="41" t="s">
        <v>0</v>
      </c>
      <c r="G113" s="42" t="s">
        <v>1</v>
      </c>
      <c r="H113" s="42" t="s">
        <v>2</v>
      </c>
      <c r="I113" s="42" t="s">
        <v>3</v>
      </c>
      <c r="J113" s="42" t="s">
        <v>4</v>
      </c>
      <c r="K113" s="42" t="s">
        <v>5</v>
      </c>
      <c r="L113" s="43" t="s">
        <v>6</v>
      </c>
      <c r="M113" s="41" t="s">
        <v>7</v>
      </c>
      <c r="N113" s="42" t="s">
        <v>8</v>
      </c>
      <c r="O113" s="42" t="s">
        <v>9</v>
      </c>
      <c r="P113" s="42" t="s">
        <v>10</v>
      </c>
      <c r="Q113" s="42" t="s">
        <v>11</v>
      </c>
      <c r="R113" s="42" t="s">
        <v>12</v>
      </c>
      <c r="S113" s="43" t="s">
        <v>13</v>
      </c>
    </row>
    <row r="114" spans="5:19">
      <c r="E114" s="44" t="s">
        <v>0</v>
      </c>
      <c r="F114" s="29">
        <v>1.0000000000000001E-5</v>
      </c>
      <c r="G114" s="31">
        <v>1.0000000000000001E-5</v>
      </c>
      <c r="H114" s="31">
        <v>1.0000000000000001E-5</v>
      </c>
      <c r="I114" s="31">
        <v>1.0000000000000001E-5</v>
      </c>
      <c r="J114" s="31">
        <v>1.0000000000000001E-5</v>
      </c>
      <c r="K114" s="31">
        <v>1.0000000000000001E-5</v>
      </c>
      <c r="L114" s="33">
        <v>1.0000000000000001E-5</v>
      </c>
      <c r="M114" s="29">
        <v>1.0000000000000001E-5</v>
      </c>
      <c r="N114" s="31">
        <v>1.0000000000000001E-5</v>
      </c>
      <c r="O114" s="31">
        <v>1.0000000000000001E-5</v>
      </c>
      <c r="P114" s="31">
        <v>1.0000000000000001E-5</v>
      </c>
      <c r="Q114" s="31">
        <v>1.0000000000000001E-5</v>
      </c>
      <c r="R114" s="31">
        <v>1.0000000000000001E-5</v>
      </c>
      <c r="S114" s="33">
        <v>1.0000000000000001E-5</v>
      </c>
    </row>
    <row r="115" spans="5:19">
      <c r="E115" s="45" t="s">
        <v>1</v>
      </c>
      <c r="F115" s="32">
        <v>1.0000000000000001E-5</v>
      </c>
      <c r="G115" s="30">
        <v>1.0000000000000001E-5</v>
      </c>
      <c r="H115" s="30">
        <v>1.0000000000000001E-5</v>
      </c>
      <c r="I115" s="30">
        <v>1.0000000000000001E-5</v>
      </c>
      <c r="J115" s="30">
        <v>1.0000000000000001E-5</v>
      </c>
      <c r="K115" s="30">
        <v>1.0000000000000001E-5</v>
      </c>
      <c r="L115" s="34">
        <v>1.0000000000000001E-5</v>
      </c>
      <c r="M115" s="32">
        <v>1.0000000000000001E-5</v>
      </c>
      <c r="N115" s="30">
        <v>1.0000000000000001E-5</v>
      </c>
      <c r="O115" s="30">
        <v>1.0000000000000001E-5</v>
      </c>
      <c r="P115" s="215"/>
      <c r="Q115" s="215"/>
      <c r="R115" s="30">
        <v>1.0000000000000001E-5</v>
      </c>
      <c r="S115" s="34">
        <v>1.0000000000000001E-5</v>
      </c>
    </row>
    <row r="116" spans="5:19">
      <c r="E116" s="45" t="s">
        <v>2</v>
      </c>
      <c r="F116" s="32">
        <v>1.0000000000000001E-5</v>
      </c>
      <c r="G116" s="30">
        <v>1.0000000000000001E-5</v>
      </c>
      <c r="H116" s="30">
        <v>1.0000000000000001E-5</v>
      </c>
      <c r="I116" s="30">
        <v>1.0000000000000001E-5</v>
      </c>
      <c r="J116" s="30">
        <v>1.0000000000000001E-5</v>
      </c>
      <c r="K116" s="30">
        <v>1.0000000000000001E-5</v>
      </c>
      <c r="L116" s="34">
        <v>9.8399999999999898E-4</v>
      </c>
      <c r="M116" s="32">
        <v>1.0000000000000001E-5</v>
      </c>
      <c r="N116" s="30">
        <v>1.0000000000000001E-5</v>
      </c>
      <c r="O116" s="30">
        <v>3.0000000000000001E-3</v>
      </c>
      <c r="P116" s="30">
        <v>1.0000000000000001E-5</v>
      </c>
      <c r="Q116" s="30">
        <v>1.0000000000000001E-5</v>
      </c>
      <c r="R116" s="30">
        <v>1.0000000000000001E-5</v>
      </c>
      <c r="S116" s="34">
        <v>4.06E-4</v>
      </c>
    </row>
    <row r="117" spans="5:19">
      <c r="E117" s="45" t="s">
        <v>3</v>
      </c>
      <c r="F117" s="32">
        <v>1.0000000000000001E-5</v>
      </c>
      <c r="G117" s="30">
        <v>1.0000000000000001E-5</v>
      </c>
      <c r="H117" s="30">
        <v>1.0000000000000001E-5</v>
      </c>
      <c r="I117" s="215">
        <v>1.0000000000000001E-5</v>
      </c>
      <c r="J117" s="215"/>
      <c r="K117" s="30">
        <v>1.0000000000000001E-5</v>
      </c>
      <c r="L117" s="34">
        <v>1.0000000000000001E-5</v>
      </c>
      <c r="M117" s="32">
        <v>1.0000000000000001E-5</v>
      </c>
      <c r="N117" s="30">
        <v>1.0000000000000001E-5</v>
      </c>
      <c r="O117" s="30">
        <v>1.0000000000000001E-5</v>
      </c>
      <c r="P117" s="215">
        <v>1.0000000000000001E-5</v>
      </c>
      <c r="Q117" s="215"/>
      <c r="R117" s="30">
        <v>1.0000000000000001E-5</v>
      </c>
      <c r="S117" s="34">
        <v>1.0000000000000001E-5</v>
      </c>
    </row>
    <row r="118" spans="5:19">
      <c r="E118" s="45" t="s">
        <v>4</v>
      </c>
      <c r="F118" s="32">
        <v>1.0000000000000001E-5</v>
      </c>
      <c r="G118" s="30">
        <v>1.0000000000000001E-5</v>
      </c>
      <c r="H118" s="30">
        <v>1.0000000000000001E-5</v>
      </c>
      <c r="I118" s="215">
        <v>1.0000000000000001E-5</v>
      </c>
      <c r="J118" s="215"/>
      <c r="K118" s="215"/>
      <c r="L118" s="216"/>
      <c r="M118" s="32">
        <v>1.0000000000000001E-5</v>
      </c>
      <c r="N118" s="30">
        <v>1.0000000000000001E-5</v>
      </c>
      <c r="O118" s="30">
        <v>1.0000000000000001E-5</v>
      </c>
      <c r="P118" s="30">
        <v>1.0000000000000001E-5</v>
      </c>
      <c r="Q118" s="30">
        <v>1.0000000000000001E-5</v>
      </c>
      <c r="R118" s="215"/>
      <c r="S118" s="216"/>
    </row>
    <row r="119" spans="5:19">
      <c r="E119" s="45" t="s">
        <v>5</v>
      </c>
      <c r="F119" s="32">
        <v>1.0000000000000001E-5</v>
      </c>
      <c r="G119" s="30">
        <v>1.0000000000000001E-5</v>
      </c>
      <c r="H119" s="30">
        <v>1.0000000000000001E-5</v>
      </c>
      <c r="I119" s="215">
        <v>2.0799999999999999E-4</v>
      </c>
      <c r="J119" s="215"/>
      <c r="K119" s="215">
        <v>3.0000000000000001E-3</v>
      </c>
      <c r="L119" s="216"/>
      <c r="M119" s="32">
        <v>1.0000000000000001E-5</v>
      </c>
      <c r="N119" s="30">
        <v>1.0000000000000001E-5</v>
      </c>
      <c r="O119" s="30">
        <v>1.0000000000000001E-5</v>
      </c>
      <c r="P119" s="30">
        <v>1.0000000000000001E-5</v>
      </c>
      <c r="Q119" s="30">
        <v>1.0000000000000001E-5</v>
      </c>
      <c r="R119" s="215"/>
      <c r="S119" s="216"/>
    </row>
    <row r="120" spans="5:19">
      <c r="E120" s="46" t="s">
        <v>6</v>
      </c>
      <c r="F120" s="37">
        <v>1.0000000000000001E-5</v>
      </c>
      <c r="G120" s="36">
        <v>1.0000000000000001E-5</v>
      </c>
      <c r="H120" s="36">
        <v>1.0000000000000001E-5</v>
      </c>
      <c r="I120" s="217"/>
      <c r="J120" s="217">
        <v>1.098E-3</v>
      </c>
      <c r="K120" s="217">
        <v>0.17</v>
      </c>
      <c r="L120" s="218">
        <v>1.0000000000000001E-5</v>
      </c>
      <c r="M120" s="224"/>
      <c r="N120" s="36">
        <v>1.0000000000000001E-5</v>
      </c>
      <c r="O120" s="36">
        <v>1.0000000000000001E-5</v>
      </c>
      <c r="P120" s="36">
        <v>1.0000000000000001E-5</v>
      </c>
      <c r="Q120" s="36">
        <v>1.0000000000000001E-5</v>
      </c>
      <c r="R120" s="217"/>
      <c r="S120" s="218"/>
    </row>
    <row r="121" spans="5:19">
      <c r="E121" s="44" t="s">
        <v>7</v>
      </c>
      <c r="F121" s="11">
        <v>1.0000000000000001E-5</v>
      </c>
      <c r="G121" s="12">
        <v>1.0000000000000001E-5</v>
      </c>
      <c r="H121" s="12">
        <v>1.0000000000000001E-5</v>
      </c>
      <c r="I121" s="12">
        <v>1.0000000000000001E-5</v>
      </c>
      <c r="J121" s="12">
        <v>1.0000000000000001E-5</v>
      </c>
      <c r="K121" s="12">
        <v>1.0000000000000001E-5</v>
      </c>
      <c r="L121" s="13">
        <v>1.0000000000000001E-5</v>
      </c>
      <c r="M121" s="11">
        <v>1.0000000000000001E-5</v>
      </c>
      <c r="N121" s="12">
        <v>1.0000000000000001E-5</v>
      </c>
      <c r="O121" s="12">
        <v>1.0000000000000001E-5</v>
      </c>
      <c r="P121" s="12">
        <v>1.0000000000000001E-5</v>
      </c>
      <c r="Q121" s="12">
        <v>1.0000000000000001E-5</v>
      </c>
      <c r="R121" s="12">
        <v>1.0000000000000001E-5</v>
      </c>
      <c r="S121" s="13">
        <v>1.0000000000000001E-5</v>
      </c>
    </row>
    <row r="122" spans="5:19">
      <c r="E122" s="45" t="s">
        <v>8</v>
      </c>
      <c r="F122" s="14">
        <v>1.0000000000000001E-5</v>
      </c>
      <c r="G122" s="15">
        <v>1.0000000000000001E-5</v>
      </c>
      <c r="H122" s="15">
        <v>1.0000000000000001E-5</v>
      </c>
      <c r="I122" s="219"/>
      <c r="J122" s="219"/>
      <c r="K122" s="15">
        <v>1.0000000000000001E-5</v>
      </c>
      <c r="L122" s="16">
        <v>1.0000000000000001E-5</v>
      </c>
      <c r="M122" s="14">
        <v>1.0000000000000001E-5</v>
      </c>
      <c r="N122" s="15">
        <v>1.0000000000000001E-5</v>
      </c>
      <c r="O122" s="15">
        <v>1.0000000000000001E-5</v>
      </c>
      <c r="P122" s="15">
        <v>1.0000000000000001E-5</v>
      </c>
      <c r="Q122" s="15">
        <v>1.0000000000000001E-5</v>
      </c>
      <c r="R122" s="15">
        <v>1.0000000000000001E-5</v>
      </c>
      <c r="S122" s="16">
        <v>1.0000000000000001E-5</v>
      </c>
    </row>
    <row r="123" spans="5:19">
      <c r="E123" s="45" t="s">
        <v>9</v>
      </c>
      <c r="F123" s="14">
        <v>1.0000000000000001E-5</v>
      </c>
      <c r="G123" s="15">
        <v>1.0000000000000001E-5</v>
      </c>
      <c r="H123" s="15">
        <v>4.9979999999999998E-3</v>
      </c>
      <c r="I123" s="15">
        <v>1.0000000000000001E-5</v>
      </c>
      <c r="J123" s="15">
        <v>1.0000000000000001E-5</v>
      </c>
      <c r="K123" s="15">
        <v>1.0000000000000001E-5</v>
      </c>
      <c r="L123" s="16">
        <v>1.08E-4</v>
      </c>
      <c r="M123" s="14">
        <v>1.0000000000000001E-5</v>
      </c>
      <c r="N123" s="15">
        <v>1.0000000000000001E-5</v>
      </c>
      <c r="O123" s="15">
        <v>1.0000000000000001E-5</v>
      </c>
      <c r="P123" s="15">
        <v>1.0000000000000001E-5</v>
      </c>
      <c r="Q123" s="15">
        <v>1.0000000000000001E-5</v>
      </c>
      <c r="R123" s="15">
        <v>1.0000000000000001E-5</v>
      </c>
      <c r="S123" s="16">
        <v>5.0500000000000002E-4</v>
      </c>
    </row>
    <row r="124" spans="5:19">
      <c r="E124" s="45" t="s">
        <v>10</v>
      </c>
      <c r="F124" s="14">
        <v>1.0000000000000001E-5</v>
      </c>
      <c r="G124" s="15">
        <v>1.0000000000000001E-5</v>
      </c>
      <c r="H124" s="15">
        <v>1.0000000000000001E-5</v>
      </c>
      <c r="I124" s="219">
        <v>1.0000000000000001E-5</v>
      </c>
      <c r="J124" s="219"/>
      <c r="K124" s="15">
        <v>1.0000000000000001E-5</v>
      </c>
      <c r="L124" s="16">
        <v>1.0000000000000001E-5</v>
      </c>
      <c r="M124" s="14">
        <v>1.0000000000000001E-5</v>
      </c>
      <c r="N124" s="15">
        <v>1.0000000000000001E-5</v>
      </c>
      <c r="O124" s="15">
        <v>1.0000000000000001E-5</v>
      </c>
      <c r="P124" s="219">
        <v>1.0000000000000001E-5</v>
      </c>
      <c r="Q124" s="219"/>
      <c r="R124" s="15">
        <v>1.0000000000000001E-5</v>
      </c>
      <c r="S124" s="16">
        <v>1.0000000000000001E-5</v>
      </c>
    </row>
    <row r="125" spans="5:19">
      <c r="E125" s="45" t="s">
        <v>11</v>
      </c>
      <c r="F125" s="14">
        <v>1.0000000000000001E-5</v>
      </c>
      <c r="G125" s="15">
        <v>1.0000000000000001E-5</v>
      </c>
      <c r="H125" s="15">
        <v>1E-3</v>
      </c>
      <c r="I125" s="15">
        <v>1.0000000000000001E-5</v>
      </c>
      <c r="J125" s="15">
        <v>1.0000000000000001E-5</v>
      </c>
      <c r="K125" s="219"/>
      <c r="L125" s="221"/>
      <c r="M125" s="14">
        <v>1.0000000000000001E-5</v>
      </c>
      <c r="N125" s="15">
        <v>1.0000000000000001E-5</v>
      </c>
      <c r="O125" s="15">
        <v>1.0000000000000001E-5</v>
      </c>
      <c r="P125" s="219">
        <v>7.6029999999999998</v>
      </c>
      <c r="Q125" s="219"/>
      <c r="R125" s="219">
        <v>3.0699999999999998E-4</v>
      </c>
      <c r="S125" s="221">
        <v>1E-3</v>
      </c>
    </row>
    <row r="126" spans="5:19">
      <c r="E126" s="45" t="s">
        <v>12</v>
      </c>
      <c r="F126" s="14">
        <v>1.0000000000000001E-5</v>
      </c>
      <c r="G126" s="15">
        <v>1.0000000000000001E-5</v>
      </c>
      <c r="H126" s="15">
        <v>4.7000000000000002E-3</v>
      </c>
      <c r="I126" s="15">
        <v>1.0000000000000001E-5</v>
      </c>
      <c r="J126" s="15">
        <v>1.0000000000000001E-5</v>
      </c>
      <c r="K126" s="219">
        <v>1.04E-2</v>
      </c>
      <c r="L126" s="221">
        <v>1.98E-3</v>
      </c>
      <c r="M126" s="14">
        <v>1.0000000000000001E-5</v>
      </c>
      <c r="N126" s="15">
        <v>1.0000000000000001E-5</v>
      </c>
      <c r="O126" s="15">
        <v>1.0000000000000001E-5</v>
      </c>
      <c r="P126" s="219">
        <v>9.8200000000000002E-4</v>
      </c>
      <c r="Q126" s="219"/>
      <c r="R126" s="219">
        <v>1.1999999999999999E-3</v>
      </c>
      <c r="S126" s="221"/>
    </row>
    <row r="127" spans="5:19">
      <c r="E127" s="46" t="s">
        <v>13</v>
      </c>
      <c r="F127" s="223"/>
      <c r="G127" s="18">
        <v>1.0000000000000001E-5</v>
      </c>
      <c r="H127" s="18">
        <v>1.0000000000000001E-5</v>
      </c>
      <c r="I127" s="18">
        <v>1.0000000000000001E-5</v>
      </c>
      <c r="J127" s="18">
        <v>1.0000000000000001E-5</v>
      </c>
      <c r="K127" s="220"/>
      <c r="L127" s="222">
        <v>1.02</v>
      </c>
      <c r="M127" s="17">
        <v>1.0000000000000001E-5</v>
      </c>
      <c r="N127" s="18">
        <v>1.0000000000000001E-5</v>
      </c>
      <c r="O127" s="18">
        <v>1.0000000000000001E-5</v>
      </c>
      <c r="P127" s="220">
        <v>1.0000000000000001E-5</v>
      </c>
      <c r="Q127" s="220"/>
      <c r="R127" s="220">
        <v>1.168E-3</v>
      </c>
      <c r="S127" s="222"/>
    </row>
    <row r="129" spans="5:19">
      <c r="E129" s="40" t="s">
        <v>21</v>
      </c>
      <c r="F129" s="41" t="s">
        <v>0</v>
      </c>
      <c r="G129" s="42" t="s">
        <v>1</v>
      </c>
      <c r="H129" s="42" t="s">
        <v>2</v>
      </c>
      <c r="I129" s="42" t="s">
        <v>3</v>
      </c>
      <c r="J129" s="42" t="s">
        <v>4</v>
      </c>
      <c r="K129" s="42" t="s">
        <v>5</v>
      </c>
      <c r="L129" s="43" t="s">
        <v>6</v>
      </c>
      <c r="M129" s="41" t="s">
        <v>7</v>
      </c>
      <c r="N129" s="42" t="s">
        <v>8</v>
      </c>
      <c r="O129" s="42" t="s">
        <v>9</v>
      </c>
      <c r="P129" s="42" t="s">
        <v>10</v>
      </c>
      <c r="Q129" s="42" t="s">
        <v>11</v>
      </c>
      <c r="R129" s="42" t="s">
        <v>12</v>
      </c>
      <c r="S129" s="43" t="s">
        <v>13</v>
      </c>
    </row>
    <row r="130" spans="5:19">
      <c r="E130" s="44" t="s">
        <v>0</v>
      </c>
      <c r="F130" s="29">
        <v>1.0000000000000001E-5</v>
      </c>
      <c r="G130" s="31">
        <v>1.0000000000000001E-5</v>
      </c>
      <c r="H130" s="31">
        <v>9.6000000000000002E-4</v>
      </c>
      <c r="I130" s="31">
        <v>1.0000000000000001E-5</v>
      </c>
      <c r="J130" s="31">
        <v>1.0000000000000001E-5</v>
      </c>
      <c r="K130" s="31">
        <v>1.0000000000000001E-5</v>
      </c>
      <c r="L130" s="33">
        <v>1.0000000000000001E-5</v>
      </c>
      <c r="M130" s="29">
        <v>9.7999999999999997E-4</v>
      </c>
      <c r="N130" s="31">
        <v>9.7999999999999997E-4</v>
      </c>
      <c r="O130" s="31">
        <v>1E-3</v>
      </c>
      <c r="P130" s="31">
        <v>1.0000000000000001E-5</v>
      </c>
      <c r="Q130" s="31">
        <v>1.0000000000000001E-5</v>
      </c>
      <c r="R130" s="31">
        <v>1.0000000000000001E-5</v>
      </c>
      <c r="S130" s="33">
        <v>1.0000000000000001E-5</v>
      </c>
    </row>
    <row r="131" spans="5:19">
      <c r="E131" s="45" t="s">
        <v>1</v>
      </c>
      <c r="F131" s="32">
        <v>1.0000000000000001E-5</v>
      </c>
      <c r="G131" s="30">
        <v>1.0000000000000001E-5</v>
      </c>
      <c r="H131" s="30">
        <v>1.0000000000000001E-5</v>
      </c>
      <c r="I131" s="30">
        <v>1.0000000000000001E-5</v>
      </c>
      <c r="J131" s="30">
        <v>9.7999999999999997E-4</v>
      </c>
      <c r="K131" s="30">
        <v>9.8999999999999999E-4</v>
      </c>
      <c r="L131" s="34">
        <v>1.0000000000000001E-5</v>
      </c>
      <c r="M131" s="32">
        <v>8.8999999999999995E-4</v>
      </c>
      <c r="N131" s="30">
        <v>1.0000000000000001E-5</v>
      </c>
      <c r="O131" s="30">
        <v>1.0000000000000001E-5</v>
      </c>
      <c r="P131" s="215"/>
      <c r="Q131" s="215"/>
      <c r="R131" s="30">
        <v>1.0000000000000001E-5</v>
      </c>
      <c r="S131" s="34">
        <v>1.0000000000000001E-5</v>
      </c>
    </row>
    <row r="132" spans="5:19">
      <c r="E132" s="45" t="s">
        <v>2</v>
      </c>
      <c r="F132" s="32">
        <v>1E-3</v>
      </c>
      <c r="G132" s="30">
        <v>1.0000000000000001E-5</v>
      </c>
      <c r="H132" s="30">
        <v>1.0000000000000001E-5</v>
      </c>
      <c r="I132" s="30">
        <v>1.0000000000000001E-5</v>
      </c>
      <c r="J132" s="30">
        <v>1.0000000000000001E-5</v>
      </c>
      <c r="K132" s="30">
        <v>1.0000000000000001E-5</v>
      </c>
      <c r="L132" s="34">
        <v>1E-3</v>
      </c>
      <c r="M132" s="32">
        <v>1.6088999999999899E-2</v>
      </c>
      <c r="N132" s="30">
        <v>1E-3</v>
      </c>
      <c r="O132" s="30">
        <v>2.5000000000000001E-2</v>
      </c>
      <c r="P132" s="30">
        <v>1.0000000000000001E-5</v>
      </c>
      <c r="Q132" s="30">
        <v>1.0000000000000001E-5</v>
      </c>
      <c r="R132" s="30">
        <v>7.2009999999999999E-3</v>
      </c>
      <c r="S132" s="34">
        <v>2E-3</v>
      </c>
    </row>
    <row r="133" spans="5:19">
      <c r="E133" s="45" t="s">
        <v>3</v>
      </c>
      <c r="F133" s="32">
        <v>1.0000000000000001E-5</v>
      </c>
      <c r="G133" s="30">
        <v>1.0000000000000001E-5</v>
      </c>
      <c r="H133" s="30">
        <v>1.0000000000000001E-5</v>
      </c>
      <c r="I133" s="215">
        <v>1.0000000000000001E-5</v>
      </c>
      <c r="J133" s="215"/>
      <c r="K133" s="30">
        <v>1.0000000000000001E-5</v>
      </c>
      <c r="L133" s="34">
        <v>1.0000000000000001E-5</v>
      </c>
      <c r="M133" s="32">
        <v>1.0000000000000001E-5</v>
      </c>
      <c r="N133" s="30">
        <v>1.0000000000000001E-5</v>
      </c>
      <c r="O133" s="30">
        <v>9.8999999999999999E-4</v>
      </c>
      <c r="P133" s="215">
        <v>1.0000000000000001E-5</v>
      </c>
      <c r="Q133" s="215"/>
      <c r="R133" s="30">
        <v>1.0000000000000001E-5</v>
      </c>
      <c r="S133" s="34">
        <v>1.0000000000000001E-5</v>
      </c>
    </row>
    <row r="134" spans="5:19">
      <c r="E134" s="45" t="s">
        <v>4</v>
      </c>
      <c r="F134" s="32">
        <v>1.0000000000000001E-5</v>
      </c>
      <c r="G134" s="30">
        <v>1.0000000000000001E-5</v>
      </c>
      <c r="H134" s="30">
        <v>1.0000000000000001E-5</v>
      </c>
      <c r="I134" s="215">
        <v>1.0000000000000001E-5</v>
      </c>
      <c r="J134" s="215"/>
      <c r="K134" s="215"/>
      <c r="L134" s="216"/>
      <c r="M134" s="32">
        <v>1.0000000000000001E-5</v>
      </c>
      <c r="N134" s="30">
        <v>1.0000000000000001E-5</v>
      </c>
      <c r="O134" s="30">
        <v>1E-3</v>
      </c>
      <c r="P134" s="30">
        <v>1.0000000000000001E-5</v>
      </c>
      <c r="Q134" s="30">
        <v>9.7499999999999996E-4</v>
      </c>
      <c r="R134" s="215"/>
      <c r="S134" s="216"/>
    </row>
    <row r="135" spans="5:19">
      <c r="E135" s="45" t="s">
        <v>5</v>
      </c>
      <c r="F135" s="32">
        <v>1.0000000000000001E-5</v>
      </c>
      <c r="G135" s="30">
        <v>1.0000000000000001E-5</v>
      </c>
      <c r="H135" s="30">
        <v>1.0000000000000001E-5</v>
      </c>
      <c r="I135" s="215">
        <v>6.0399999999999896E-4</v>
      </c>
      <c r="J135" s="215"/>
      <c r="K135" s="215">
        <v>3.0000000000000001E-3</v>
      </c>
      <c r="L135" s="216"/>
      <c r="M135" s="32">
        <v>1.99E-3</v>
      </c>
      <c r="N135" s="30">
        <v>1.0000000000000001E-5</v>
      </c>
      <c r="O135" s="30">
        <v>5.4999999999999997E-3</v>
      </c>
      <c r="P135" s="30">
        <v>9.8999999999999999E-4</v>
      </c>
      <c r="Q135" s="30">
        <v>1E-3</v>
      </c>
      <c r="R135" s="215"/>
      <c r="S135" s="216"/>
    </row>
    <row r="136" spans="5:19">
      <c r="E136" s="46" t="s">
        <v>6</v>
      </c>
      <c r="F136" s="37">
        <v>1.0000000000000001E-5</v>
      </c>
      <c r="G136" s="36">
        <v>1.0000000000000001E-5</v>
      </c>
      <c r="H136" s="36">
        <v>1.0000000000000001E-5</v>
      </c>
      <c r="I136" s="217"/>
      <c r="J136" s="217">
        <v>1.294E-3</v>
      </c>
      <c r="K136" s="217">
        <v>0.17</v>
      </c>
      <c r="L136" s="218">
        <v>1.0000000000000001E-5</v>
      </c>
      <c r="M136" s="224"/>
      <c r="N136" s="36">
        <v>1.0000000000000001E-5</v>
      </c>
      <c r="O136" s="36">
        <v>1.0000000000000001E-5</v>
      </c>
      <c r="P136" s="36">
        <v>1.0000000000000001E-5</v>
      </c>
      <c r="Q136" s="36">
        <v>1.0000000000000001E-5</v>
      </c>
      <c r="R136" s="217"/>
      <c r="S136" s="218"/>
    </row>
    <row r="137" spans="5:19">
      <c r="E137" s="44" t="s">
        <v>7</v>
      </c>
      <c r="F137" s="11">
        <v>9.7000000000000005E-4</v>
      </c>
      <c r="G137" s="12">
        <v>9.7000000000000005E-4</v>
      </c>
      <c r="H137" s="12">
        <v>3.0000000000000001E-3</v>
      </c>
      <c r="I137" s="12">
        <v>1.0000000000000001E-5</v>
      </c>
      <c r="J137" s="12">
        <v>1.0000000000000001E-5</v>
      </c>
      <c r="K137" s="12">
        <v>1.0000000000000001E-5</v>
      </c>
      <c r="L137" s="13">
        <v>1.0000000000000001E-5</v>
      </c>
      <c r="M137" s="11">
        <v>1.0000000000000001E-5</v>
      </c>
      <c r="N137" s="12">
        <v>1.0000000000000001E-5</v>
      </c>
      <c r="O137" s="12">
        <v>1.0000000000000001E-5</v>
      </c>
      <c r="P137" s="12">
        <v>1.0000000000000001E-5</v>
      </c>
      <c r="Q137" s="12">
        <v>1.0000000000000001E-5</v>
      </c>
      <c r="R137" s="12">
        <v>1.0000000000000001E-5</v>
      </c>
      <c r="S137" s="13">
        <v>1.0000000000000001E-5</v>
      </c>
    </row>
    <row r="138" spans="5:19">
      <c r="E138" s="45" t="s">
        <v>8</v>
      </c>
      <c r="F138" s="14">
        <v>9.3000000000000005E-4</v>
      </c>
      <c r="G138" s="15">
        <v>1.0000000000000001E-5</v>
      </c>
      <c r="H138" s="15">
        <v>1.0000000000000001E-5</v>
      </c>
      <c r="I138" s="219"/>
      <c r="J138" s="219"/>
      <c r="K138" s="15">
        <v>1.0000000000000001E-5</v>
      </c>
      <c r="L138" s="16">
        <v>1.0000000000000001E-5</v>
      </c>
      <c r="M138" s="14">
        <v>1.0000000000000001E-5</v>
      </c>
      <c r="N138" s="15">
        <v>1.0000000000000001E-5</v>
      </c>
      <c r="O138" s="15">
        <v>1.0000000000000001E-5</v>
      </c>
      <c r="P138" s="15">
        <v>1.0000000000000001E-5</v>
      </c>
      <c r="Q138" s="15">
        <v>9.41E-4</v>
      </c>
      <c r="R138" s="15">
        <v>9.7999999999999997E-4</v>
      </c>
      <c r="S138" s="16">
        <v>1.0000000000000001E-5</v>
      </c>
    </row>
    <row r="139" spans="5:19">
      <c r="E139" s="45" t="s">
        <v>9</v>
      </c>
      <c r="F139" s="14">
        <v>1.0999999999999999E-2</v>
      </c>
      <c r="G139" s="15">
        <v>9.7999999999999997E-4</v>
      </c>
      <c r="H139" s="15">
        <v>2.1999999999999999E-2</v>
      </c>
      <c r="I139" s="15">
        <v>1.0000000000000001E-5</v>
      </c>
      <c r="J139" s="15">
        <v>1.0000000000000001E-5</v>
      </c>
      <c r="K139" s="15">
        <v>1E-3</v>
      </c>
      <c r="L139" s="16">
        <v>1.1292999999999999E-2</v>
      </c>
      <c r="M139" s="14">
        <v>9.7999999999999997E-4</v>
      </c>
      <c r="N139" s="15">
        <v>1.0000000000000001E-5</v>
      </c>
      <c r="O139" s="15">
        <v>1.0000000000000001E-5</v>
      </c>
      <c r="P139" s="15">
        <v>1.0000000000000001E-5</v>
      </c>
      <c r="Q139" s="15">
        <v>1.0000000000000001E-5</v>
      </c>
      <c r="R139" s="15">
        <v>1.0000000000000001E-5</v>
      </c>
      <c r="S139" s="16">
        <v>1E-3</v>
      </c>
    </row>
    <row r="140" spans="5:19">
      <c r="E140" s="45" t="s">
        <v>10</v>
      </c>
      <c r="F140" s="14">
        <v>1.0000000000000001E-5</v>
      </c>
      <c r="G140" s="15">
        <v>1.0000000000000001E-5</v>
      </c>
      <c r="H140" s="15">
        <v>7.59699999999999E-3</v>
      </c>
      <c r="I140" s="219">
        <v>1.0000000000000001E-5</v>
      </c>
      <c r="J140" s="219"/>
      <c r="K140" s="15">
        <v>1.0000000000000001E-5</v>
      </c>
      <c r="L140" s="16">
        <v>1.0000000000000001E-5</v>
      </c>
      <c r="M140" s="14">
        <v>1.0000000000000001E-5</v>
      </c>
      <c r="N140" s="15">
        <v>1.0000000000000001E-5</v>
      </c>
      <c r="O140" s="15">
        <v>1.0000000000000001E-5</v>
      </c>
      <c r="P140" s="219">
        <v>1.0000000000000001E-5</v>
      </c>
      <c r="Q140" s="219"/>
      <c r="R140" s="15">
        <v>1.0000000000000001E-5</v>
      </c>
      <c r="S140" s="16">
        <v>1.0000000000000001E-5</v>
      </c>
    </row>
    <row r="141" spans="5:19">
      <c r="E141" s="45" t="s">
        <v>11</v>
      </c>
      <c r="F141" s="14">
        <v>8.2899999999999803E-4</v>
      </c>
      <c r="G141" s="15">
        <v>1.0000000000000001E-5</v>
      </c>
      <c r="H141" s="15">
        <v>1.99E-3</v>
      </c>
      <c r="I141" s="15">
        <v>1.0000000000000001E-5</v>
      </c>
      <c r="J141" s="15">
        <v>9.8400000000000007E-4</v>
      </c>
      <c r="K141" s="219"/>
      <c r="L141" s="221"/>
      <c r="M141" s="14">
        <v>1.0000000000000001E-5</v>
      </c>
      <c r="N141" s="15">
        <v>1.0000000000000001E-5</v>
      </c>
      <c r="O141" s="15">
        <v>1.0000000000000001E-5</v>
      </c>
      <c r="P141" s="219">
        <v>7.6029999999999998</v>
      </c>
      <c r="Q141" s="219"/>
      <c r="R141" s="219">
        <v>9.01E-4</v>
      </c>
      <c r="S141" s="221">
        <v>1E-3</v>
      </c>
    </row>
    <row r="142" spans="5:19">
      <c r="E142" s="45" t="s">
        <v>12</v>
      </c>
      <c r="F142" s="14">
        <v>5.9829999999999996E-3</v>
      </c>
      <c r="G142" s="15">
        <v>1.0000000000000001E-5</v>
      </c>
      <c r="H142" s="15">
        <v>1.7399999999999999E-2</v>
      </c>
      <c r="I142" s="15">
        <v>1E-3</v>
      </c>
      <c r="J142" s="15">
        <v>9.9500000000000001E-4</v>
      </c>
      <c r="K142" s="219">
        <v>2.91999999999999E-2</v>
      </c>
      <c r="L142" s="221">
        <v>1.98E-3</v>
      </c>
      <c r="M142" s="14">
        <v>1.0000000000000001E-5</v>
      </c>
      <c r="N142" s="15">
        <v>1.0000000000000001E-5</v>
      </c>
      <c r="O142" s="15">
        <v>1.0000000000000001E-5</v>
      </c>
      <c r="P142" s="219">
        <v>9.859999999999999E-4</v>
      </c>
      <c r="Q142" s="219"/>
      <c r="R142" s="219">
        <v>1.5999999999999901E-3</v>
      </c>
      <c r="S142" s="221"/>
    </row>
    <row r="143" spans="5:19">
      <c r="E143" s="46" t="s">
        <v>13</v>
      </c>
      <c r="F143" s="223"/>
      <c r="G143" s="18">
        <v>1.0000000000000001E-5</v>
      </c>
      <c r="H143" s="18">
        <v>9.8999999999999999E-4</v>
      </c>
      <c r="I143" s="18">
        <v>1.0000000000000001E-5</v>
      </c>
      <c r="J143" s="18">
        <v>9.8999999999999999E-4</v>
      </c>
      <c r="K143" s="220"/>
      <c r="L143" s="222">
        <v>1.02</v>
      </c>
      <c r="M143" s="17">
        <v>1.0000000000000001E-5</v>
      </c>
      <c r="N143" s="18">
        <v>1.0000000000000001E-5</v>
      </c>
      <c r="O143" s="18">
        <v>1.0000000000000001E-5</v>
      </c>
      <c r="P143" s="220">
        <v>1.0000000000000001E-5</v>
      </c>
      <c r="Q143" s="220"/>
      <c r="R143" s="220">
        <v>1.5839999999999999E-3</v>
      </c>
      <c r="S143" s="222"/>
    </row>
    <row r="145" spans="5:19">
      <c r="E145" s="40" t="s">
        <v>21</v>
      </c>
      <c r="F145" s="41" t="s">
        <v>0</v>
      </c>
      <c r="G145" s="42" t="s">
        <v>1</v>
      </c>
      <c r="H145" s="42" t="s">
        <v>2</v>
      </c>
      <c r="I145" s="42" t="s">
        <v>3</v>
      </c>
      <c r="J145" s="42" t="s">
        <v>4</v>
      </c>
      <c r="K145" s="42" t="s">
        <v>5</v>
      </c>
      <c r="L145" s="43" t="s">
        <v>6</v>
      </c>
      <c r="M145" s="41" t="s">
        <v>7</v>
      </c>
      <c r="N145" s="42" t="s">
        <v>8</v>
      </c>
      <c r="O145" s="42" t="s">
        <v>9</v>
      </c>
      <c r="P145" s="42" t="s">
        <v>10</v>
      </c>
      <c r="Q145" s="42" t="s">
        <v>11</v>
      </c>
      <c r="R145" s="42" t="s">
        <v>12</v>
      </c>
      <c r="S145" s="43" t="s">
        <v>13</v>
      </c>
    </row>
    <row r="146" spans="5:19">
      <c r="E146" s="44" t="s">
        <v>0</v>
      </c>
      <c r="F146" s="29">
        <v>1.0000000000000001E-5</v>
      </c>
      <c r="G146" s="31">
        <v>1.0000000000000001E-5</v>
      </c>
      <c r="H146" s="31">
        <v>1E-3</v>
      </c>
      <c r="I146" s="31">
        <v>1.0000000000000001E-5</v>
      </c>
      <c r="J146" s="31">
        <v>1.0000000000000001E-5</v>
      </c>
      <c r="K146" s="31">
        <v>1.0000000000000001E-5</v>
      </c>
      <c r="L146" s="33">
        <v>1.0000000000000001E-5</v>
      </c>
      <c r="M146" s="29">
        <v>3.2000000000000001E-2</v>
      </c>
      <c r="N146" s="31">
        <v>0.01</v>
      </c>
      <c r="O146" s="31">
        <v>1.3465E-2</v>
      </c>
      <c r="P146" s="31">
        <v>9.6000000000000002E-4</v>
      </c>
      <c r="Q146" s="31">
        <v>1.0000000000000001E-5</v>
      </c>
      <c r="R146" s="31">
        <v>1.0000000000000001E-5</v>
      </c>
      <c r="S146" s="33">
        <v>1.0000000000000001E-5</v>
      </c>
    </row>
    <row r="147" spans="5:19">
      <c r="E147" s="45" t="s">
        <v>1</v>
      </c>
      <c r="F147" s="32">
        <v>1.0000000000000001E-5</v>
      </c>
      <c r="G147" s="30">
        <v>1.0000000000000001E-5</v>
      </c>
      <c r="H147" s="30">
        <v>1E-3</v>
      </c>
      <c r="I147" s="30">
        <v>1.0000000000000001E-5</v>
      </c>
      <c r="J147" s="30">
        <v>1E-3</v>
      </c>
      <c r="K147" s="30">
        <v>1E-3</v>
      </c>
      <c r="L147" s="34">
        <v>9.8999999999999999E-4</v>
      </c>
      <c r="M147" s="32">
        <v>1.99E-3</v>
      </c>
      <c r="N147" s="30">
        <v>9.3999999999999997E-4</v>
      </c>
      <c r="O147" s="30">
        <v>9.8999999999999999E-4</v>
      </c>
      <c r="P147" s="215"/>
      <c r="Q147" s="215"/>
      <c r="R147" s="30">
        <v>1.0000000000000001E-5</v>
      </c>
      <c r="S147" s="34">
        <v>1.0000000000000001E-5</v>
      </c>
    </row>
    <row r="148" spans="5:19">
      <c r="E148" s="45" t="s">
        <v>2</v>
      </c>
      <c r="F148" s="32">
        <v>4.4999999999999998E-2</v>
      </c>
      <c r="G148" s="30">
        <v>1E-3</v>
      </c>
      <c r="H148" s="30">
        <v>9.7000000000000005E-4</v>
      </c>
      <c r="I148" s="30">
        <v>9.7999999999999997E-4</v>
      </c>
      <c r="J148" s="30">
        <v>9.7000000000000005E-4</v>
      </c>
      <c r="K148" s="30">
        <v>9.8999999999999999E-4</v>
      </c>
      <c r="L148" s="34">
        <v>1.0999999999999999E-2</v>
      </c>
      <c r="M148" s="32">
        <v>7.4999999999999997E-2</v>
      </c>
      <c r="N148" s="30">
        <v>4.3999999999999997E-2</v>
      </c>
      <c r="O148" s="30">
        <v>7.3999999999999996E-2</v>
      </c>
      <c r="P148" s="30">
        <v>9.7000000000000005E-4</v>
      </c>
      <c r="Q148" s="30">
        <v>9.7999999999999997E-4</v>
      </c>
      <c r="R148" s="30">
        <v>2.1995000000000001E-2</v>
      </c>
      <c r="S148" s="34">
        <v>1.3990000000000001E-2</v>
      </c>
    </row>
    <row r="149" spans="5:19">
      <c r="E149" s="45" t="s">
        <v>3</v>
      </c>
      <c r="F149" s="32">
        <v>1.0000000000000001E-5</v>
      </c>
      <c r="G149" s="30">
        <v>1.0000000000000001E-5</v>
      </c>
      <c r="H149" s="30">
        <v>1E-3</v>
      </c>
      <c r="I149" s="215">
        <v>1.0000000000000001E-5</v>
      </c>
      <c r="J149" s="215"/>
      <c r="K149" s="30">
        <v>1.0000000000000001E-5</v>
      </c>
      <c r="L149" s="34">
        <v>1.0000000000000001E-5</v>
      </c>
      <c r="M149" s="32">
        <v>1.0000000000000001E-5</v>
      </c>
      <c r="N149" s="30">
        <v>1.0000000000000001E-5</v>
      </c>
      <c r="O149" s="30">
        <v>2E-3</v>
      </c>
      <c r="P149" s="215">
        <v>1.0000000000000001E-5</v>
      </c>
      <c r="Q149" s="215"/>
      <c r="R149" s="30">
        <v>9.8499999999999998E-4</v>
      </c>
      <c r="S149" s="34">
        <v>9.7999999999999997E-4</v>
      </c>
    </row>
    <row r="150" spans="5:19">
      <c r="E150" s="45" t="s">
        <v>4</v>
      </c>
      <c r="F150" s="32">
        <v>9.6000000000000002E-4</v>
      </c>
      <c r="G150" s="30">
        <v>9.6000000000000002E-4</v>
      </c>
      <c r="H150" s="30">
        <v>9.6000000000000002E-4</v>
      </c>
      <c r="I150" s="215">
        <v>1.0000000000000001E-5</v>
      </c>
      <c r="J150" s="215"/>
      <c r="K150" s="215"/>
      <c r="L150" s="216"/>
      <c r="M150" s="32">
        <v>9.8999999999999999E-4</v>
      </c>
      <c r="N150" s="30">
        <v>9.3999999999999997E-4</v>
      </c>
      <c r="O150" s="30">
        <v>1.2500000000000001E-2</v>
      </c>
      <c r="P150" s="30">
        <v>9.7000000000000005E-4</v>
      </c>
      <c r="Q150" s="30">
        <v>1E-3</v>
      </c>
      <c r="R150" s="215"/>
      <c r="S150" s="216"/>
    </row>
    <row r="151" spans="5:19">
      <c r="E151" s="45" t="s">
        <v>5</v>
      </c>
      <c r="F151" s="32">
        <v>9.8999999999999999E-4</v>
      </c>
      <c r="G151" s="30">
        <v>9.8999999999999999E-4</v>
      </c>
      <c r="H151" s="30">
        <v>1.0000000000000001E-5</v>
      </c>
      <c r="I151" s="215">
        <v>1E-3</v>
      </c>
      <c r="J151" s="215"/>
      <c r="K151" s="215">
        <v>3.0000000000000001E-3</v>
      </c>
      <c r="L151" s="216"/>
      <c r="M151" s="32">
        <v>9.9950000000000004E-3</v>
      </c>
      <c r="N151" s="30">
        <v>9.7999999999999997E-4</v>
      </c>
      <c r="O151" s="30">
        <v>1.9E-2</v>
      </c>
      <c r="P151" s="30">
        <v>1E-3</v>
      </c>
      <c r="Q151" s="30">
        <v>1E-3</v>
      </c>
      <c r="R151" s="215"/>
      <c r="S151" s="216"/>
    </row>
    <row r="152" spans="5:19">
      <c r="E152" s="46" t="s">
        <v>6</v>
      </c>
      <c r="F152" s="37">
        <v>1.0000000000000001E-5</v>
      </c>
      <c r="G152" s="36">
        <v>1.0000000000000001E-5</v>
      </c>
      <c r="H152" s="36">
        <v>9.7999999999999997E-4</v>
      </c>
      <c r="I152" s="217"/>
      <c r="J152" s="217">
        <v>1.49E-3</v>
      </c>
      <c r="K152" s="217">
        <v>0.17</v>
      </c>
      <c r="L152" s="218">
        <v>1.0000000000000001E-5</v>
      </c>
      <c r="M152" s="224"/>
      <c r="N152" s="36">
        <v>1.0000000000000001E-5</v>
      </c>
      <c r="O152" s="36">
        <v>4.95E-4</v>
      </c>
      <c r="P152" s="36">
        <v>9.8999999999999999E-4</v>
      </c>
      <c r="Q152" s="36">
        <v>9.8999999999999999E-4</v>
      </c>
      <c r="R152" s="217"/>
      <c r="S152" s="218"/>
    </row>
    <row r="153" spans="5:19">
      <c r="E153" s="44" t="s">
        <v>7</v>
      </c>
      <c r="F153" s="11">
        <v>0.03</v>
      </c>
      <c r="G153" s="12">
        <v>0.01</v>
      </c>
      <c r="H153" s="12">
        <v>2.1000000000000001E-2</v>
      </c>
      <c r="I153" s="12">
        <v>9.7000000000000005E-4</v>
      </c>
      <c r="J153" s="12">
        <v>1.0000000000000001E-5</v>
      </c>
      <c r="K153" s="12">
        <v>1.0000000000000001E-5</v>
      </c>
      <c r="L153" s="13">
        <v>1.0000000000000001E-5</v>
      </c>
      <c r="M153" s="11">
        <v>1.0000000000000001E-5</v>
      </c>
      <c r="N153" s="12">
        <v>1.0000000000000001E-5</v>
      </c>
      <c r="O153" s="12">
        <v>1E-3</v>
      </c>
      <c r="P153" s="12">
        <v>1.0000000000000001E-5</v>
      </c>
      <c r="Q153" s="12">
        <v>1.0000000000000001E-5</v>
      </c>
      <c r="R153" s="12">
        <v>1.0000000000000001E-5</v>
      </c>
      <c r="S153" s="13">
        <v>1.0000000000000001E-5</v>
      </c>
    </row>
    <row r="154" spans="5:19">
      <c r="E154" s="45" t="s">
        <v>8</v>
      </c>
      <c r="F154" s="14">
        <v>2E-3</v>
      </c>
      <c r="G154" s="15">
        <v>9.3999999999999997E-4</v>
      </c>
      <c r="H154" s="15">
        <v>1E-3</v>
      </c>
      <c r="I154" s="219"/>
      <c r="J154" s="219"/>
      <c r="K154" s="15">
        <v>9.2000000000000003E-4</v>
      </c>
      <c r="L154" s="16">
        <v>1.0000000000000001E-5</v>
      </c>
      <c r="M154" s="14">
        <v>9.1E-4</v>
      </c>
      <c r="N154" s="15">
        <v>1.0000000000000001E-5</v>
      </c>
      <c r="O154" s="15">
        <v>1E-3</v>
      </c>
      <c r="P154" s="15">
        <v>9.5E-4</v>
      </c>
      <c r="Q154" s="15">
        <v>1E-3</v>
      </c>
      <c r="R154" s="15">
        <v>1E-3</v>
      </c>
      <c r="S154" s="16">
        <v>9.7999999999999997E-4</v>
      </c>
    </row>
    <row r="155" spans="5:19">
      <c r="E155" s="45" t="s">
        <v>9</v>
      </c>
      <c r="F155" s="14">
        <v>5.7000000000000002E-2</v>
      </c>
      <c r="G155" s="15">
        <v>2.1999999999999999E-2</v>
      </c>
      <c r="H155" s="15">
        <v>7.5999999999999998E-2</v>
      </c>
      <c r="I155" s="15">
        <v>9.7000000000000005E-4</v>
      </c>
      <c r="J155" s="15">
        <v>9.7999999999999997E-4</v>
      </c>
      <c r="K155" s="15">
        <v>1.0999999999999999E-2</v>
      </c>
      <c r="L155" s="16">
        <v>2.8500000000000001E-2</v>
      </c>
      <c r="M155" s="14">
        <v>2.3E-2</v>
      </c>
      <c r="N155" s="15">
        <v>9.8999999999999999E-4</v>
      </c>
      <c r="O155" s="15">
        <v>9.7000000000000005E-4</v>
      </c>
      <c r="P155" s="15">
        <v>9.7999999999999997E-4</v>
      </c>
      <c r="Q155" s="15">
        <v>9.7000000000000005E-4</v>
      </c>
      <c r="R155" s="15">
        <v>1E-3</v>
      </c>
      <c r="S155" s="16">
        <v>1.9949999999999998E-3</v>
      </c>
    </row>
    <row r="156" spans="5:19">
      <c r="E156" s="45" t="s">
        <v>10</v>
      </c>
      <c r="F156" s="14">
        <v>1.0000000000000001E-5</v>
      </c>
      <c r="G156" s="15">
        <v>1.0000000000000001E-5</v>
      </c>
      <c r="H156" s="15">
        <v>4.5499999999999999E-2</v>
      </c>
      <c r="I156" s="219">
        <v>1.0000000000000001E-5</v>
      </c>
      <c r="J156" s="219"/>
      <c r="K156" s="15">
        <v>9.7499999999999996E-4</v>
      </c>
      <c r="L156" s="16">
        <v>9.8999999999999999E-4</v>
      </c>
      <c r="M156" s="14">
        <v>1.0000000000000001E-5</v>
      </c>
      <c r="N156" s="15">
        <v>1.0000000000000001E-5</v>
      </c>
      <c r="O156" s="15">
        <v>1E-3</v>
      </c>
      <c r="P156" s="219">
        <v>1.0000000000000001E-5</v>
      </c>
      <c r="Q156" s="219"/>
      <c r="R156" s="15">
        <v>1.0000000000000001E-5</v>
      </c>
      <c r="S156" s="16">
        <v>1.0000000000000001E-5</v>
      </c>
    </row>
    <row r="157" spans="5:19">
      <c r="E157" s="45" t="s">
        <v>11</v>
      </c>
      <c r="F157" s="14">
        <v>9.8999999999999999E-4</v>
      </c>
      <c r="G157" s="15">
        <v>1.0000000000000001E-5</v>
      </c>
      <c r="H157" s="15">
        <v>8.9999999999999993E-3</v>
      </c>
      <c r="I157" s="15">
        <v>9.6000000000000002E-4</v>
      </c>
      <c r="J157" s="15">
        <v>1E-3</v>
      </c>
      <c r="K157" s="219"/>
      <c r="L157" s="221"/>
      <c r="M157" s="14">
        <v>9.7000000000000005E-4</v>
      </c>
      <c r="N157" s="15">
        <v>9.7999999999999997E-4</v>
      </c>
      <c r="O157" s="15">
        <v>9.3999999999999997E-4</v>
      </c>
      <c r="P157" s="219">
        <v>7.6029999999999998</v>
      </c>
      <c r="Q157" s="219"/>
      <c r="R157" s="219">
        <v>0.01</v>
      </c>
      <c r="S157" s="221">
        <v>1E-3</v>
      </c>
    </row>
    <row r="158" spans="5:19">
      <c r="E158" s="45" t="s">
        <v>12</v>
      </c>
      <c r="F158" s="14">
        <v>2.1995000000000001E-2</v>
      </c>
      <c r="G158" s="15">
        <v>9.7999999999999997E-4</v>
      </c>
      <c r="H158" s="15">
        <v>9.8500000000000004E-2</v>
      </c>
      <c r="I158" s="15">
        <v>1E-3</v>
      </c>
      <c r="J158" s="15">
        <v>1E-3</v>
      </c>
      <c r="K158" s="219">
        <v>4.8000000000000001E-2</v>
      </c>
      <c r="L158" s="221">
        <v>1.98E-3</v>
      </c>
      <c r="M158" s="14">
        <v>9.7999999999999997E-4</v>
      </c>
      <c r="N158" s="15">
        <v>1E-3</v>
      </c>
      <c r="O158" s="15">
        <v>9.3000000000000005E-4</v>
      </c>
      <c r="P158" s="219">
        <v>9.8999999999999999E-4</v>
      </c>
      <c r="Q158" s="219"/>
      <c r="R158" s="219">
        <v>2E-3</v>
      </c>
      <c r="S158" s="221"/>
    </row>
    <row r="159" spans="5:19">
      <c r="E159" s="46" t="s">
        <v>13</v>
      </c>
      <c r="F159" s="223"/>
      <c r="G159" s="18">
        <v>9.6500000000000004E-4</v>
      </c>
      <c r="H159" s="18">
        <v>1E-3</v>
      </c>
      <c r="I159" s="18">
        <v>9.8999999999999999E-4</v>
      </c>
      <c r="J159" s="18">
        <v>1E-3</v>
      </c>
      <c r="K159" s="220"/>
      <c r="L159" s="222">
        <v>1.02</v>
      </c>
      <c r="M159" s="17">
        <v>1.0000000000000001E-5</v>
      </c>
      <c r="N159" s="18">
        <v>1.0000000000000001E-5</v>
      </c>
      <c r="O159" s="18">
        <v>9.7000000000000005E-4</v>
      </c>
      <c r="P159" s="220">
        <v>1.0000000000000001E-5</v>
      </c>
      <c r="Q159" s="220"/>
      <c r="R159" s="220">
        <v>2E-3</v>
      </c>
      <c r="S159" s="222"/>
    </row>
    <row r="161" spans="5:19">
      <c r="E161" s="40" t="s">
        <v>21</v>
      </c>
      <c r="F161" s="41" t="s">
        <v>0</v>
      </c>
      <c r="G161" s="42" t="s">
        <v>1</v>
      </c>
      <c r="H161" s="42" t="s">
        <v>2</v>
      </c>
      <c r="I161" s="42" t="s">
        <v>3</v>
      </c>
      <c r="J161" s="42" t="s">
        <v>4</v>
      </c>
      <c r="K161" s="42" t="s">
        <v>5</v>
      </c>
      <c r="L161" s="43" t="s">
        <v>6</v>
      </c>
      <c r="M161" s="41" t="s">
        <v>7</v>
      </c>
      <c r="N161" s="42" t="s">
        <v>8</v>
      </c>
      <c r="O161" s="42" t="s">
        <v>9</v>
      </c>
      <c r="P161" s="42" t="s">
        <v>10</v>
      </c>
      <c r="Q161" s="42" t="s">
        <v>11</v>
      </c>
      <c r="R161" s="42" t="s">
        <v>12</v>
      </c>
      <c r="S161" s="43" t="s">
        <v>13</v>
      </c>
    </row>
    <row r="162" spans="5:19">
      <c r="E162" s="44" t="s">
        <v>0</v>
      </c>
      <c r="F162" s="29">
        <v>1E-3</v>
      </c>
      <c r="G162" s="31">
        <v>9.8999999999999999E-4</v>
      </c>
      <c r="H162" s="31">
        <v>2.8999999999999901E-2</v>
      </c>
      <c r="I162" s="31">
        <v>9.7999999999999997E-4</v>
      </c>
      <c r="J162" s="31">
        <v>9.5E-4</v>
      </c>
      <c r="K162" s="31">
        <v>9.8999999999999999E-4</v>
      </c>
      <c r="L162" s="33">
        <v>9.7000000000000005E-4</v>
      </c>
      <c r="M162" s="29">
        <v>0.14399999999999999</v>
      </c>
      <c r="N162" s="31">
        <v>9.8975999999999995E-2</v>
      </c>
      <c r="O162" s="31">
        <v>6.0299999999999701E-2</v>
      </c>
      <c r="P162" s="31">
        <v>1E-3</v>
      </c>
      <c r="Q162" s="31">
        <v>9.7999999999999997E-4</v>
      </c>
      <c r="R162" s="31">
        <v>9.6999999999999897E-4</v>
      </c>
      <c r="S162" s="33">
        <v>9.7999999999999997E-4</v>
      </c>
    </row>
    <row r="163" spans="5:19">
      <c r="E163" s="45" t="s">
        <v>1</v>
      </c>
      <c r="F163" s="32">
        <v>1E-3</v>
      </c>
      <c r="G163" s="30">
        <v>9.7000000000000005E-4</v>
      </c>
      <c r="H163" s="30">
        <v>1E-3</v>
      </c>
      <c r="I163" s="30">
        <v>9.8999999999999999E-4</v>
      </c>
      <c r="J163" s="30">
        <v>1E-3</v>
      </c>
      <c r="K163" s="30">
        <v>1E-3</v>
      </c>
      <c r="L163" s="34">
        <v>1E-3</v>
      </c>
      <c r="M163" s="32">
        <v>7.3999999999999996E-2</v>
      </c>
      <c r="N163" s="30">
        <v>2E-3</v>
      </c>
      <c r="O163" s="30">
        <v>4.9000000000000002E-2</v>
      </c>
      <c r="P163" s="215"/>
      <c r="Q163" s="215"/>
      <c r="R163" s="30">
        <v>9.8099999999999902E-4</v>
      </c>
      <c r="S163" s="34">
        <v>9.7000000000000005E-4</v>
      </c>
    </row>
    <row r="164" spans="5:19">
      <c r="E164" s="45" t="s">
        <v>2</v>
      </c>
      <c r="F164" s="32">
        <v>0.159193999999999</v>
      </c>
      <c r="G164" s="30">
        <v>5.5E-2</v>
      </c>
      <c r="H164" s="30">
        <v>2E-3</v>
      </c>
      <c r="I164" s="30">
        <v>9.8999999999999999E-4</v>
      </c>
      <c r="J164" s="30">
        <v>1E-3</v>
      </c>
      <c r="K164" s="30">
        <v>1E-3</v>
      </c>
      <c r="L164" s="34">
        <v>5.2999999999999901E-2</v>
      </c>
      <c r="M164" s="32">
        <v>0.189999</v>
      </c>
      <c r="N164" s="30">
        <v>0.145290999999999</v>
      </c>
      <c r="O164" s="30">
        <v>0.16339999999999999</v>
      </c>
      <c r="P164" s="30">
        <v>9.8999999999999999E-4</v>
      </c>
      <c r="Q164" s="30">
        <v>1E-3</v>
      </c>
      <c r="R164" s="30">
        <v>7.4799999999999894E-2</v>
      </c>
      <c r="S164" s="34">
        <v>2.4799999999999899E-2</v>
      </c>
    </row>
    <row r="165" spans="5:19">
      <c r="E165" s="45" t="s">
        <v>3</v>
      </c>
      <c r="F165" s="32">
        <v>9.7000000000000005E-4</v>
      </c>
      <c r="G165" s="30">
        <v>9.8999999999999999E-4</v>
      </c>
      <c r="H165" s="30">
        <v>1E-3</v>
      </c>
      <c r="I165" s="215">
        <v>1.0000000000000001E-5</v>
      </c>
      <c r="J165" s="215"/>
      <c r="K165" s="30">
        <v>9.6000000000000002E-4</v>
      </c>
      <c r="L165" s="34">
        <v>9.5999999999999905E-4</v>
      </c>
      <c r="M165" s="32">
        <v>9.8700000000000003E-4</v>
      </c>
      <c r="N165" s="30">
        <v>9.8999999999999999E-4</v>
      </c>
      <c r="O165" s="30">
        <v>1.6199999999999899E-2</v>
      </c>
      <c r="P165" s="215">
        <v>1.0000000000000001E-5</v>
      </c>
      <c r="Q165" s="215"/>
      <c r="R165" s="30">
        <v>1E-3</v>
      </c>
      <c r="S165" s="34">
        <v>1E-3</v>
      </c>
    </row>
    <row r="166" spans="5:19">
      <c r="E166" s="45" t="s">
        <v>4</v>
      </c>
      <c r="F166" s="32">
        <v>1E-3</v>
      </c>
      <c r="G166" s="30">
        <v>1E-3</v>
      </c>
      <c r="H166" s="30">
        <v>1E-3</v>
      </c>
      <c r="I166" s="215">
        <v>1.0000000000000001E-5</v>
      </c>
      <c r="J166" s="215"/>
      <c r="K166" s="215"/>
      <c r="L166" s="216"/>
      <c r="M166" s="32">
        <v>4.10929999999999E-2</v>
      </c>
      <c r="N166" s="30">
        <v>9.7999999999999997E-4</v>
      </c>
      <c r="O166" s="30">
        <v>6.9699999999999998E-2</v>
      </c>
      <c r="P166" s="30">
        <v>9.8999999999999999E-4</v>
      </c>
      <c r="Q166" s="30">
        <v>1E-3</v>
      </c>
      <c r="R166" s="215"/>
      <c r="S166" s="216"/>
    </row>
    <row r="167" spans="5:19">
      <c r="E167" s="45" t="s">
        <v>5</v>
      </c>
      <c r="F167" s="32">
        <v>2E-3</v>
      </c>
      <c r="G167" s="30">
        <v>2E-3</v>
      </c>
      <c r="H167" s="30">
        <v>1E-3</v>
      </c>
      <c r="I167" s="215">
        <v>3.9789999999999899</v>
      </c>
      <c r="J167" s="215"/>
      <c r="K167" s="215">
        <v>3.0000000000000001E-3</v>
      </c>
      <c r="L167" s="216"/>
      <c r="M167" s="32">
        <v>8.4385999999999906E-2</v>
      </c>
      <c r="N167" s="30">
        <v>1E-3</v>
      </c>
      <c r="O167" s="30">
        <v>5.3999999999999902E-2</v>
      </c>
      <c r="P167" s="30">
        <v>1.99E-3</v>
      </c>
      <c r="Q167" s="30">
        <v>1.9859999999999999E-3</v>
      </c>
      <c r="R167" s="215"/>
      <c r="S167" s="216"/>
    </row>
    <row r="168" spans="5:19">
      <c r="E168" s="46" t="s">
        <v>6</v>
      </c>
      <c r="F168" s="37">
        <v>1E-3</v>
      </c>
      <c r="G168" s="36">
        <v>9.8999999999999999E-4</v>
      </c>
      <c r="H168" s="36">
        <v>1E-3</v>
      </c>
      <c r="I168" s="217"/>
      <c r="J168" s="217">
        <v>1.686E-3</v>
      </c>
      <c r="K168" s="217">
        <v>0.17</v>
      </c>
      <c r="L168" s="218">
        <v>1.0000000000000001E-5</v>
      </c>
      <c r="M168" s="224"/>
      <c r="N168" s="36">
        <v>9.8999999999999999E-4</v>
      </c>
      <c r="O168" s="36">
        <v>9.8499999999999998E-4</v>
      </c>
      <c r="P168" s="36">
        <v>1E-3</v>
      </c>
      <c r="Q168" s="36">
        <v>1E-3</v>
      </c>
      <c r="R168" s="217"/>
      <c r="S168" s="218"/>
    </row>
    <row r="169" spans="5:19">
      <c r="E169" s="44" t="s">
        <v>7</v>
      </c>
      <c r="F169" s="11">
        <v>0.14294999999999999</v>
      </c>
      <c r="G169" s="12">
        <v>9.9000000000000005E-2</v>
      </c>
      <c r="H169" s="12">
        <v>0.08</v>
      </c>
      <c r="I169" s="12">
        <v>1E-3</v>
      </c>
      <c r="J169" s="12">
        <v>9.7999999999999997E-4</v>
      </c>
      <c r="K169" s="12">
        <v>9.7999999999999997E-4</v>
      </c>
      <c r="L169" s="13">
        <v>9.8899999999999899E-4</v>
      </c>
      <c r="M169" s="11">
        <v>1E-3</v>
      </c>
      <c r="N169" s="12">
        <v>9.8999999999999999E-4</v>
      </c>
      <c r="O169" s="12">
        <v>1.2999999999999999E-2</v>
      </c>
      <c r="P169" s="12">
        <v>9.7999999999999997E-4</v>
      </c>
      <c r="Q169" s="12">
        <v>9.7000000000000005E-4</v>
      </c>
      <c r="R169" s="12">
        <v>9.6999999999999897E-4</v>
      </c>
      <c r="S169" s="13">
        <v>9.7999999999999997E-4</v>
      </c>
    </row>
    <row r="170" spans="5:19">
      <c r="E170" s="45" t="s">
        <v>8</v>
      </c>
      <c r="F170" s="14">
        <v>0.08</v>
      </c>
      <c r="G170" s="15">
        <v>1.99E-3</v>
      </c>
      <c r="H170" s="15">
        <v>8.3099999999999896E-2</v>
      </c>
      <c r="I170" s="219"/>
      <c r="J170" s="219"/>
      <c r="K170" s="15">
        <v>1E-3</v>
      </c>
      <c r="L170" s="16">
        <v>9.7999999999999997E-4</v>
      </c>
      <c r="M170" s="14">
        <v>1E-3</v>
      </c>
      <c r="N170" s="15">
        <v>9.7999999999999997E-4</v>
      </c>
      <c r="O170" s="15">
        <v>1E-3</v>
      </c>
      <c r="P170" s="15">
        <v>9.8999999999999999E-4</v>
      </c>
      <c r="Q170" s="15">
        <v>1E-3</v>
      </c>
      <c r="R170" s="15">
        <v>1E-3</v>
      </c>
      <c r="S170" s="16">
        <v>1E-3</v>
      </c>
    </row>
    <row r="171" spans="5:19">
      <c r="E171" s="45" t="s">
        <v>9</v>
      </c>
      <c r="F171" s="14">
        <v>0.16</v>
      </c>
      <c r="G171" s="15">
        <v>0.104986</v>
      </c>
      <c r="H171" s="15">
        <v>0.18159999999999901</v>
      </c>
      <c r="I171" s="15">
        <v>1E-3</v>
      </c>
      <c r="J171" s="15">
        <v>1E-3</v>
      </c>
      <c r="K171" s="15">
        <v>1.6E-2</v>
      </c>
      <c r="L171" s="16">
        <v>7.9199999999999895E-2</v>
      </c>
      <c r="M171" s="14">
        <v>0.113</v>
      </c>
      <c r="N171" s="15">
        <v>3.5999999999999997E-2</v>
      </c>
      <c r="O171" s="15">
        <v>2E-3</v>
      </c>
      <c r="P171" s="15">
        <v>1E-3</v>
      </c>
      <c r="Q171" s="15">
        <v>1.59399999999999E-3</v>
      </c>
      <c r="R171" s="15">
        <v>1E-3</v>
      </c>
      <c r="S171" s="16">
        <v>1.0500000000000001E-2</v>
      </c>
    </row>
    <row r="172" spans="5:19">
      <c r="E172" s="45" t="s">
        <v>10</v>
      </c>
      <c r="F172" s="14">
        <v>1E-3</v>
      </c>
      <c r="G172" s="15">
        <v>9.8999999999999999E-4</v>
      </c>
      <c r="H172" s="15">
        <v>8.1699999999999898E-2</v>
      </c>
      <c r="I172" s="219">
        <v>0.33090899999999801</v>
      </c>
      <c r="J172" s="219"/>
      <c r="K172" s="15">
        <v>1E-3</v>
      </c>
      <c r="L172" s="16">
        <v>1E-3</v>
      </c>
      <c r="M172" s="14">
        <v>9.7000000000000005E-4</v>
      </c>
      <c r="N172" s="15">
        <v>9.8999999999999999E-4</v>
      </c>
      <c r="O172" s="15">
        <v>1E-3</v>
      </c>
      <c r="P172" s="219">
        <v>1.08999999999999E-4</v>
      </c>
      <c r="Q172" s="219"/>
      <c r="R172" s="15">
        <v>1.0000000000000001E-5</v>
      </c>
      <c r="S172" s="16">
        <v>9.5E-4</v>
      </c>
    </row>
    <row r="173" spans="5:19">
      <c r="E173" s="45" t="s">
        <v>11</v>
      </c>
      <c r="F173" s="14">
        <v>3.7399999999999899E-2</v>
      </c>
      <c r="G173" s="15">
        <v>9.8999999999999999E-4</v>
      </c>
      <c r="H173" s="15">
        <v>0.12</v>
      </c>
      <c r="I173" s="15">
        <v>9.8999999999999999E-4</v>
      </c>
      <c r="J173" s="15">
        <v>1E-3</v>
      </c>
      <c r="K173" s="219"/>
      <c r="L173" s="221"/>
      <c r="M173" s="14">
        <v>1.98E-3</v>
      </c>
      <c r="N173" s="15">
        <v>1.9679999999999902E-3</v>
      </c>
      <c r="O173" s="15">
        <v>9.8999999999999999E-4</v>
      </c>
      <c r="P173" s="219">
        <v>7.6029999999999998</v>
      </c>
      <c r="Q173" s="219"/>
      <c r="R173" s="219">
        <v>3.7799999999999903E-2</v>
      </c>
      <c r="S173" s="221">
        <v>1E-3</v>
      </c>
    </row>
    <row r="174" spans="5:19">
      <c r="E174" s="45" t="s">
        <v>12</v>
      </c>
      <c r="F174" s="14">
        <v>0.10239999999999901</v>
      </c>
      <c r="G174" s="15">
        <v>1E-3</v>
      </c>
      <c r="H174" s="15">
        <v>0.17459999999999901</v>
      </c>
      <c r="I174" s="15">
        <v>2E-3</v>
      </c>
      <c r="J174" s="15">
        <v>1E-3</v>
      </c>
      <c r="K174" s="219">
        <v>6.6799999999999901E-2</v>
      </c>
      <c r="L174" s="221">
        <v>1.98E-3</v>
      </c>
      <c r="M174" s="14">
        <v>2.9499999999999401E-3</v>
      </c>
      <c r="N174" s="15">
        <v>2E-3</v>
      </c>
      <c r="O174" s="15">
        <v>9.8999999999999999E-4</v>
      </c>
      <c r="P174" s="219">
        <v>2.8593999999999901E-2</v>
      </c>
      <c r="Q174" s="219"/>
      <c r="R174" s="219">
        <v>5.1999999999999998E-3</v>
      </c>
      <c r="S174" s="221"/>
    </row>
    <row r="175" spans="5:19">
      <c r="E175" s="46" t="s">
        <v>13</v>
      </c>
      <c r="F175" s="223"/>
      <c r="G175" s="18">
        <v>9.8999999999999999E-4</v>
      </c>
      <c r="H175" s="18">
        <v>1.2500000000000001E-2</v>
      </c>
      <c r="I175" s="18">
        <v>1E-3</v>
      </c>
      <c r="J175" s="18">
        <v>1E-3</v>
      </c>
      <c r="K175" s="220"/>
      <c r="L175" s="222">
        <v>1.02</v>
      </c>
      <c r="M175" s="17">
        <v>9.8999999999999999E-4</v>
      </c>
      <c r="N175" s="18">
        <v>9.6000000000000002E-4</v>
      </c>
      <c r="O175" s="18">
        <v>1E-3</v>
      </c>
      <c r="P175" s="220">
        <v>1.0000000000000001E-5</v>
      </c>
      <c r="Q175" s="220"/>
      <c r="R175" s="220">
        <v>2.3999999999999998E-3</v>
      </c>
      <c r="S175" s="222"/>
    </row>
    <row r="177" spans="5:19">
      <c r="E177" s="40" t="s">
        <v>21</v>
      </c>
      <c r="F177" s="41" t="s">
        <v>0</v>
      </c>
      <c r="G177" s="42" t="s">
        <v>1</v>
      </c>
      <c r="H177" s="42" t="s">
        <v>2</v>
      </c>
      <c r="I177" s="42" t="s">
        <v>3</v>
      </c>
      <c r="J177" s="42" t="s">
        <v>4</v>
      </c>
      <c r="K177" s="42" t="s">
        <v>5</v>
      </c>
      <c r="L177" s="43" t="s">
        <v>6</v>
      </c>
      <c r="M177" s="41" t="s">
        <v>7</v>
      </c>
      <c r="N177" s="42" t="s">
        <v>8</v>
      </c>
      <c r="O177" s="42" t="s">
        <v>9</v>
      </c>
      <c r="P177" s="42" t="s">
        <v>10</v>
      </c>
      <c r="Q177" s="42" t="s">
        <v>11</v>
      </c>
      <c r="R177" s="42" t="s">
        <v>12</v>
      </c>
      <c r="S177" s="43" t="s">
        <v>13</v>
      </c>
    </row>
    <row r="178" spans="5:19">
      <c r="E178" s="44" t="s">
        <v>0</v>
      </c>
      <c r="F178" s="29">
        <v>0.152</v>
      </c>
      <c r="G178" s="31">
        <v>0.10899499999999999</v>
      </c>
      <c r="H178" s="31">
        <v>0.27210000000000001</v>
      </c>
      <c r="I178" s="31">
        <v>2E-3</v>
      </c>
      <c r="J178" s="31">
        <v>1E-3</v>
      </c>
      <c r="K178" s="31">
        <v>1E-3</v>
      </c>
      <c r="L178" s="33">
        <v>2E-3</v>
      </c>
      <c r="M178" s="29">
        <v>0.505</v>
      </c>
      <c r="N178" s="31">
        <v>0.40799999999999997</v>
      </c>
      <c r="O178" s="31">
        <v>0.315</v>
      </c>
      <c r="P178" s="31">
        <v>2E-3</v>
      </c>
      <c r="Q178" s="31">
        <v>1E-3</v>
      </c>
      <c r="R178" s="31">
        <v>1E-3</v>
      </c>
      <c r="S178" s="33">
        <v>1E-3</v>
      </c>
    </row>
    <row r="179" spans="5:19">
      <c r="E179" s="45" t="s">
        <v>1</v>
      </c>
      <c r="F179" s="32">
        <v>0.16500000000000001</v>
      </c>
      <c r="G179" s="30">
        <v>2.5989999999999999E-2</v>
      </c>
      <c r="H179" s="30">
        <v>0.1845</v>
      </c>
      <c r="I179" s="30">
        <v>1E-3</v>
      </c>
      <c r="J179" s="30">
        <v>2E-3</v>
      </c>
      <c r="K179" s="30">
        <v>1E-3</v>
      </c>
      <c r="L179" s="34">
        <v>1E-3</v>
      </c>
      <c r="M179" s="32">
        <v>0.37</v>
      </c>
      <c r="N179" s="30">
        <v>0.21480000000000099</v>
      </c>
      <c r="O179" s="30">
        <v>0.35830000000000001</v>
      </c>
      <c r="P179" s="215"/>
      <c r="Q179" s="215"/>
      <c r="R179" s="30">
        <v>1E-3</v>
      </c>
      <c r="S179" s="34">
        <v>1E-3</v>
      </c>
    </row>
    <row r="180" spans="5:19">
      <c r="E180" s="45" t="s">
        <v>2</v>
      </c>
      <c r="F180" s="32">
        <v>0.49940000000000001</v>
      </c>
      <c r="G180" s="30">
        <v>0.31530000000000002</v>
      </c>
      <c r="H180" s="30">
        <v>0.1153</v>
      </c>
      <c r="I180" s="30">
        <v>2.8188000000000001E-2</v>
      </c>
      <c r="J180" s="30">
        <v>2E-3</v>
      </c>
      <c r="K180" s="30">
        <v>6.5860000000000198E-3</v>
      </c>
      <c r="L180" s="34">
        <v>0.1152</v>
      </c>
      <c r="M180" s="32">
        <v>0.55230000000000001</v>
      </c>
      <c r="N180" s="30">
        <v>0.52210000000000001</v>
      </c>
      <c r="O180" s="30">
        <v>0.40500000000000003</v>
      </c>
      <c r="P180" s="30">
        <v>2.96E-3</v>
      </c>
      <c r="Q180" s="30">
        <v>2E-3</v>
      </c>
      <c r="R180" s="30">
        <v>0.25019999999999998</v>
      </c>
      <c r="S180" s="34">
        <v>0.101593999999999</v>
      </c>
    </row>
    <row r="181" spans="5:19">
      <c r="E181" s="45" t="s">
        <v>3</v>
      </c>
      <c r="F181" s="32">
        <v>3.7999999999999999E-2</v>
      </c>
      <c r="G181" s="30">
        <v>4.68999999999999E-2</v>
      </c>
      <c r="H181" s="30">
        <v>8.6999999999999994E-2</v>
      </c>
      <c r="I181" s="215">
        <v>1.0000000000000001E-5</v>
      </c>
      <c r="J181" s="215"/>
      <c r="K181" s="30">
        <v>1E-3</v>
      </c>
      <c r="L181" s="34">
        <v>1E-3</v>
      </c>
      <c r="M181" s="32">
        <v>0.114</v>
      </c>
      <c r="N181" s="30">
        <v>5.799E-2</v>
      </c>
      <c r="O181" s="30">
        <v>0.13439400000000001</v>
      </c>
      <c r="P181" s="215">
        <v>5.9800000000000001E-4</v>
      </c>
      <c r="Q181" s="215"/>
      <c r="R181" s="30">
        <v>2E-3</v>
      </c>
      <c r="S181" s="34">
        <v>3.0000000000000001E-3</v>
      </c>
    </row>
    <row r="182" spans="5:19">
      <c r="E182" s="45" t="s">
        <v>4</v>
      </c>
      <c r="F182" s="32">
        <v>0.14419999999999999</v>
      </c>
      <c r="G182" s="30">
        <v>0.12476999999999901</v>
      </c>
      <c r="H182" s="30">
        <v>2E-3</v>
      </c>
      <c r="I182" s="215">
        <v>1.0000000000000001E-5</v>
      </c>
      <c r="J182" s="215"/>
      <c r="K182" s="215"/>
      <c r="L182" s="216"/>
      <c r="M182" s="32">
        <v>0.26679999999999898</v>
      </c>
      <c r="N182" s="30">
        <v>6.9170000000000106E-2</v>
      </c>
      <c r="O182" s="30">
        <v>0.1462</v>
      </c>
      <c r="P182" s="30">
        <v>1.99E-3</v>
      </c>
      <c r="Q182" s="30">
        <v>2E-3</v>
      </c>
      <c r="R182" s="215"/>
      <c r="S182" s="216"/>
    </row>
    <row r="183" spans="5:19">
      <c r="E183" s="45" t="s">
        <v>5</v>
      </c>
      <c r="F183" s="32">
        <v>0.182</v>
      </c>
      <c r="G183" s="30">
        <v>9.9000000000000005E-2</v>
      </c>
      <c r="H183" s="30">
        <v>3.0000000000000001E-3</v>
      </c>
      <c r="I183" s="215">
        <v>7.9569999999999999</v>
      </c>
      <c r="J183" s="215"/>
      <c r="K183" s="215">
        <v>3.0000000000000001E-3</v>
      </c>
      <c r="L183" s="216"/>
      <c r="M183" s="32">
        <v>0.30790000000000001</v>
      </c>
      <c r="N183" s="30">
        <v>0.107</v>
      </c>
      <c r="O183" s="30">
        <v>0.20849999999999999</v>
      </c>
      <c r="P183" s="30">
        <v>7.4000000000000298E-3</v>
      </c>
      <c r="Q183" s="30">
        <v>2E-3</v>
      </c>
      <c r="R183" s="215"/>
      <c r="S183" s="216"/>
    </row>
    <row r="184" spans="5:19">
      <c r="E184" s="46" t="s">
        <v>6</v>
      </c>
      <c r="F184" s="37">
        <v>5.4600000000000003E-2</v>
      </c>
      <c r="G184" s="36">
        <v>2.4199999999999999E-2</v>
      </c>
      <c r="H184" s="36">
        <v>2E-3</v>
      </c>
      <c r="I184" s="217"/>
      <c r="J184" s="217">
        <v>1.882E-3</v>
      </c>
      <c r="K184" s="217">
        <v>0.17</v>
      </c>
      <c r="L184" s="218">
        <v>1.0000000000000001E-5</v>
      </c>
      <c r="M184" s="224"/>
      <c r="N184" s="36">
        <v>1.99E-3</v>
      </c>
      <c r="O184" s="36">
        <v>1.5495E-2</v>
      </c>
      <c r="P184" s="36">
        <v>1.7999999999999999E-2</v>
      </c>
      <c r="Q184" s="36">
        <v>2E-3</v>
      </c>
      <c r="R184" s="217"/>
      <c r="S184" s="218"/>
    </row>
    <row r="185" spans="5:19">
      <c r="E185" s="44" t="s">
        <v>7</v>
      </c>
      <c r="F185" s="11">
        <v>0.50800000000000001</v>
      </c>
      <c r="G185" s="12">
        <v>0.41599999999999998</v>
      </c>
      <c r="H185" s="12">
        <v>0.37</v>
      </c>
      <c r="I185" s="12">
        <v>2E-3</v>
      </c>
      <c r="J185" s="12">
        <v>1E-3</v>
      </c>
      <c r="K185" s="12">
        <v>1E-3</v>
      </c>
      <c r="L185" s="13">
        <v>1E-3</v>
      </c>
      <c r="M185" s="11">
        <v>0.135987</v>
      </c>
      <c r="N185" s="12">
        <v>0.104</v>
      </c>
      <c r="O185" s="12">
        <v>0.222</v>
      </c>
      <c r="P185" s="12">
        <v>1.99E-3</v>
      </c>
      <c r="Q185" s="12">
        <v>1E-3</v>
      </c>
      <c r="R185" s="12">
        <v>1E-3</v>
      </c>
      <c r="S185" s="13">
        <v>1E-3</v>
      </c>
    </row>
    <row r="186" spans="5:19">
      <c r="E186" s="45" t="s">
        <v>8</v>
      </c>
      <c r="F186" s="14">
        <v>0.35199999999999998</v>
      </c>
      <c r="G186" s="15">
        <v>0.188</v>
      </c>
      <c r="H186" s="15">
        <v>0.42170000000000002</v>
      </c>
      <c r="I186" s="219"/>
      <c r="J186" s="219"/>
      <c r="K186" s="15">
        <v>1E-3</v>
      </c>
      <c r="L186" s="16">
        <v>1E-3</v>
      </c>
      <c r="M186" s="14">
        <v>0.17100000000000001</v>
      </c>
      <c r="N186" s="15">
        <v>3.1E-2</v>
      </c>
      <c r="O186" s="15">
        <v>0.13200000000000001</v>
      </c>
      <c r="P186" s="15">
        <v>1.99E-3</v>
      </c>
      <c r="Q186" s="15">
        <v>2E-3</v>
      </c>
      <c r="R186" s="15">
        <v>1E-3</v>
      </c>
      <c r="S186" s="16">
        <v>1E-3</v>
      </c>
    </row>
    <row r="187" spans="5:19">
      <c r="E187" s="45" t="s">
        <v>9</v>
      </c>
      <c r="F187" s="14">
        <v>0.48</v>
      </c>
      <c r="G187" s="15">
        <v>0.3891</v>
      </c>
      <c r="H187" s="15">
        <v>0.50919999999999999</v>
      </c>
      <c r="I187" s="15">
        <v>4.8869999999999999E-3</v>
      </c>
      <c r="J187" s="15">
        <v>1.993E-3</v>
      </c>
      <c r="K187" s="15">
        <v>7.0999999999999994E-2</v>
      </c>
      <c r="L187" s="16">
        <v>0.73229999999999995</v>
      </c>
      <c r="M187" s="14">
        <v>0.42499999999999999</v>
      </c>
      <c r="N187" s="15">
        <v>0.27700000000000002</v>
      </c>
      <c r="O187" s="15">
        <v>6.8000000000000005E-2</v>
      </c>
      <c r="P187" s="15">
        <v>3.7393000000000003E-2</v>
      </c>
      <c r="Q187" s="15">
        <v>3.0000000000000001E-3</v>
      </c>
      <c r="R187" s="15">
        <v>4.9899999999999996E-3</v>
      </c>
      <c r="S187" s="16">
        <v>0.17699500000000001</v>
      </c>
    </row>
    <row r="188" spans="5:19">
      <c r="E188" s="45" t="s">
        <v>10</v>
      </c>
      <c r="F188" s="14">
        <v>0.13399</v>
      </c>
      <c r="G188" s="15">
        <v>6.93E-2</v>
      </c>
      <c r="H188" s="15">
        <v>0.28710000000000002</v>
      </c>
      <c r="I188" s="219">
        <v>2.316303</v>
      </c>
      <c r="J188" s="219"/>
      <c r="K188" s="15">
        <v>2E-3</v>
      </c>
      <c r="L188" s="16">
        <v>7.3940000000000897E-3</v>
      </c>
      <c r="M188" s="14">
        <v>4.7300000000000002E-2</v>
      </c>
      <c r="N188" s="15">
        <v>3.2686E-2</v>
      </c>
      <c r="O188" s="15">
        <v>1.0699999999999999E-2</v>
      </c>
      <c r="P188" s="219">
        <v>7.0299999999999996E-4</v>
      </c>
      <c r="Q188" s="219"/>
      <c r="R188" s="15">
        <v>1E-3</v>
      </c>
      <c r="S188" s="16">
        <v>1E-3</v>
      </c>
    </row>
    <row r="189" spans="5:19">
      <c r="E189" s="45" t="s">
        <v>11</v>
      </c>
      <c r="F189" s="14">
        <v>0.14960000000000001</v>
      </c>
      <c r="G189" s="15">
        <v>0.10279000000000001</v>
      </c>
      <c r="H189" s="15">
        <v>1.085</v>
      </c>
      <c r="I189" s="15">
        <v>1.99E-3</v>
      </c>
      <c r="J189" s="15">
        <v>2E-3</v>
      </c>
      <c r="K189" s="219"/>
      <c r="L189" s="221"/>
      <c r="M189" s="14">
        <v>0.16020000000000001</v>
      </c>
      <c r="N189" s="15">
        <v>0.10979999999999999</v>
      </c>
      <c r="O189" s="15">
        <v>2E-3</v>
      </c>
      <c r="P189" s="219">
        <v>7.6029999999999998</v>
      </c>
      <c r="Q189" s="219"/>
      <c r="R189" s="219">
        <v>0.15060000000000001</v>
      </c>
      <c r="S189" s="221">
        <v>1E-3</v>
      </c>
    </row>
    <row r="190" spans="5:19">
      <c r="E190" s="45" t="s">
        <v>12</v>
      </c>
      <c r="F190" s="14">
        <v>0.46560000000000001</v>
      </c>
      <c r="G190" s="15">
        <v>0.109197999999999</v>
      </c>
      <c r="H190" s="15">
        <v>0.27210000000000001</v>
      </c>
      <c r="I190" s="15">
        <v>3.0000000000000001E-3</v>
      </c>
      <c r="J190" s="15">
        <v>2E-3</v>
      </c>
      <c r="K190" s="219">
        <v>8.5599999999999996E-2</v>
      </c>
      <c r="L190" s="221">
        <v>1.98E-3</v>
      </c>
      <c r="M190" s="14">
        <v>0.16900000000000001</v>
      </c>
      <c r="N190" s="15">
        <v>7.4800000000000005E-2</v>
      </c>
      <c r="O190" s="15">
        <v>2.9839999999999901E-3</v>
      </c>
      <c r="P190" s="219">
        <v>5.6197999999999998E-2</v>
      </c>
      <c r="Q190" s="219"/>
      <c r="R190" s="219">
        <v>8.3999999999999995E-3</v>
      </c>
      <c r="S190" s="221"/>
    </row>
    <row r="191" spans="5:19">
      <c r="E191" s="46" t="s">
        <v>13</v>
      </c>
      <c r="F191" s="223"/>
      <c r="G191" s="18">
        <v>2E-3</v>
      </c>
      <c r="H191" s="18">
        <v>0.13089999999999899</v>
      </c>
      <c r="I191" s="18">
        <v>2.993E-3</v>
      </c>
      <c r="J191" s="18">
        <v>2E-3</v>
      </c>
      <c r="K191" s="220"/>
      <c r="L191" s="222">
        <v>1.02</v>
      </c>
      <c r="M191" s="17">
        <v>4.5400000000000003E-2</v>
      </c>
      <c r="N191" s="18">
        <v>1.6E-2</v>
      </c>
      <c r="O191" s="18">
        <v>1.98E-3</v>
      </c>
      <c r="P191" s="220">
        <v>1.0000000000000001E-5</v>
      </c>
      <c r="Q191" s="220"/>
      <c r="R191" s="220">
        <v>2.8E-3</v>
      </c>
      <c r="S191" s="222"/>
    </row>
    <row r="193" spans="5:19">
      <c r="E193" s="227" t="s">
        <v>38</v>
      </c>
      <c r="F193" s="228"/>
      <c r="G193" s="228"/>
      <c r="H193" s="228"/>
      <c r="I193" s="228"/>
      <c r="J193" s="228"/>
      <c r="K193" s="228"/>
      <c r="L193" s="228"/>
      <c r="M193" s="228"/>
      <c r="N193" s="228"/>
      <c r="O193" s="228"/>
      <c r="P193" s="228"/>
      <c r="Q193" s="228"/>
      <c r="R193" s="228"/>
      <c r="S193" s="229"/>
    </row>
    <row r="195" spans="5:19">
      <c r="E195" s="40" t="s">
        <v>21</v>
      </c>
      <c r="F195" s="41" t="s">
        <v>0</v>
      </c>
      <c r="G195" s="42" t="s">
        <v>1</v>
      </c>
      <c r="H195" s="42" t="s">
        <v>2</v>
      </c>
      <c r="I195" s="42" t="s">
        <v>3</v>
      </c>
      <c r="J195" s="42" t="s">
        <v>4</v>
      </c>
      <c r="K195" s="42" t="s">
        <v>5</v>
      </c>
      <c r="L195" s="43" t="s">
        <v>6</v>
      </c>
      <c r="M195" s="41" t="s">
        <v>7</v>
      </c>
      <c r="N195" s="42" t="s">
        <v>8</v>
      </c>
      <c r="O195" s="42" t="s">
        <v>9</v>
      </c>
      <c r="P195" s="42" t="s">
        <v>10</v>
      </c>
      <c r="Q195" s="42" t="s">
        <v>11</v>
      </c>
      <c r="R195" s="42" t="s">
        <v>12</v>
      </c>
      <c r="S195" s="43" t="s">
        <v>13</v>
      </c>
    </row>
    <row r="196" spans="5:19">
      <c r="E196" s="44" t="s">
        <v>0</v>
      </c>
      <c r="F196" s="206">
        <v>-0.16312056050701401</v>
      </c>
      <c r="G196" s="207">
        <v>-9.1745270568156997E-2</v>
      </c>
      <c r="H196" s="207">
        <v>9.0048814932718393E-3</v>
      </c>
      <c r="I196" s="207">
        <v>-0.46836741840505502</v>
      </c>
      <c r="J196" s="207">
        <v>-0.45678024252735799</v>
      </c>
      <c r="K196" s="207">
        <v>-8.9703805018147703E-2</v>
      </c>
      <c r="L196" s="208">
        <v>-6.8327338763324003E-2</v>
      </c>
      <c r="M196" s="206">
        <v>-1.3025693662254299E-3</v>
      </c>
      <c r="N196" s="207">
        <v>-0.17550260310650201</v>
      </c>
      <c r="O196" s="207">
        <v>-0.17072184676114699</v>
      </c>
      <c r="P196" s="207">
        <v>0.47072645555944798</v>
      </c>
      <c r="Q196" s="207">
        <v>0.46146091964456898</v>
      </c>
      <c r="R196" s="207">
        <v>-2.2608854089290899E-2</v>
      </c>
      <c r="S196" s="208">
        <v>-9.4984416901596602E-3</v>
      </c>
    </row>
    <row r="197" spans="5:19">
      <c r="E197" s="45" t="s">
        <v>1</v>
      </c>
      <c r="F197" s="209">
        <v>-9.66413178315597E-2</v>
      </c>
      <c r="G197" s="210">
        <v>4.2089513602255303E-2</v>
      </c>
      <c r="H197" s="210">
        <v>0.16548740327894901</v>
      </c>
      <c r="I197" s="210">
        <v>-0.468819595184713</v>
      </c>
      <c r="J197" s="210">
        <v>-0.45984618881754302</v>
      </c>
      <c r="K197" s="210">
        <v>-3.6281189026781999E-2</v>
      </c>
      <c r="L197" s="211">
        <v>-2.2531237233573601E-2</v>
      </c>
      <c r="M197" s="209">
        <v>0.16696986609148901</v>
      </c>
      <c r="N197" s="210">
        <v>-6.0922825342326903E-3</v>
      </c>
      <c r="O197" s="210">
        <v>-0.18647082191516101</v>
      </c>
      <c r="P197" s="210"/>
      <c r="Q197" s="210"/>
      <c r="R197" s="210">
        <v>-5.7010412043796005E-4</v>
      </c>
      <c r="S197" s="211">
        <v>2.0854644459535599E-2</v>
      </c>
    </row>
    <row r="198" spans="5:19">
      <c r="E198" s="45" t="s">
        <v>2</v>
      </c>
      <c r="F198" s="209">
        <v>3.7006046651131802E-2</v>
      </c>
      <c r="G198" s="210">
        <v>0.17036383326263099</v>
      </c>
      <c r="H198" s="210">
        <v>0.12568762575341499</v>
      </c>
      <c r="I198" s="210">
        <v>-0.40596750964155298</v>
      </c>
      <c r="J198" s="210">
        <v>-0.409574346099568</v>
      </c>
      <c r="K198" s="210">
        <v>-0.144827564474237</v>
      </c>
      <c r="L198" s="211">
        <v>-0.13864246108978201</v>
      </c>
      <c r="M198" s="209">
        <v>0.152942509020281</v>
      </c>
      <c r="N198" s="210">
        <v>7.9655260794528907E-2</v>
      </c>
      <c r="O198" s="210">
        <v>-5.8236302557237102E-3</v>
      </c>
      <c r="P198" s="210">
        <v>0.44717175191824998</v>
      </c>
      <c r="Q198" s="210">
        <v>0.44058922400253597</v>
      </c>
      <c r="R198" s="210">
        <v>-4.1843297599170298E-2</v>
      </c>
      <c r="S198" s="211">
        <v>-6.3677546278094604E-2</v>
      </c>
    </row>
    <row r="199" spans="5:19">
      <c r="E199" s="45" t="s">
        <v>3</v>
      </c>
      <c r="F199" s="209">
        <v>-2.4117295023238301E-2</v>
      </c>
      <c r="G199" s="210">
        <v>2.1229576841315101E-2</v>
      </c>
      <c r="H199" s="210">
        <v>-3.3933840811349002E-2</v>
      </c>
      <c r="I199" s="210">
        <v>-0.30392156862745101</v>
      </c>
      <c r="J199" s="210"/>
      <c r="K199" s="210">
        <v>-3.6379964855385603E-2</v>
      </c>
      <c r="L199" s="211">
        <v>9.2223797890650502E-4</v>
      </c>
      <c r="M199" s="209">
        <v>4.7021844836515003E-2</v>
      </c>
      <c r="N199" s="210">
        <v>2.7599721793286399E-2</v>
      </c>
      <c r="O199" s="210">
        <v>0.10081756602992301</v>
      </c>
      <c r="P199" s="210">
        <v>0.46485401320112402</v>
      </c>
      <c r="Q199" s="210"/>
      <c r="R199" s="210">
        <v>2.7299150234214802E-2</v>
      </c>
      <c r="S199" s="211">
        <v>4.8142400282001403E-2</v>
      </c>
    </row>
    <row r="200" spans="5:19">
      <c r="E200" s="45" t="s">
        <v>4</v>
      </c>
      <c r="F200" s="209">
        <v>0.44774950336167901</v>
      </c>
      <c r="G200" s="210">
        <v>0.450695533304447</v>
      </c>
      <c r="H200" s="210">
        <v>0.44134377740839398</v>
      </c>
      <c r="I200" s="210">
        <v>-0.49656357388316102</v>
      </c>
      <c r="J200" s="210"/>
      <c r="K200" s="210"/>
      <c r="L200" s="211"/>
      <c r="M200" s="209">
        <v>0.438056898132483</v>
      </c>
      <c r="N200" s="210">
        <v>0.46746130505279798</v>
      </c>
      <c r="O200" s="210">
        <v>0.34397545407043001</v>
      </c>
      <c r="P200" s="210">
        <v>0.48892120841468401</v>
      </c>
      <c r="Q200" s="210">
        <v>0.48263479830030098</v>
      </c>
      <c r="R200" s="210"/>
      <c r="S200" s="211"/>
    </row>
    <row r="201" spans="5:19">
      <c r="E201" s="45" t="s">
        <v>5</v>
      </c>
      <c r="F201" s="209">
        <v>0.401645632277149</v>
      </c>
      <c r="G201" s="210">
        <v>0.40235922397673901</v>
      </c>
      <c r="H201" s="210">
        <v>0.42617396502186899</v>
      </c>
      <c r="I201" s="210">
        <v>-0.24446689113355699</v>
      </c>
      <c r="J201" s="210"/>
      <c r="K201" s="210">
        <v>0.48412698412698402</v>
      </c>
      <c r="L201" s="211"/>
      <c r="M201" s="209">
        <v>0.42241761501077602</v>
      </c>
      <c r="N201" s="210">
        <v>0.44441919984629003</v>
      </c>
      <c r="O201" s="210">
        <v>0.398924928534586</v>
      </c>
      <c r="P201" s="210">
        <v>0.47664947049894102</v>
      </c>
      <c r="Q201" s="210">
        <v>0.45838404158518897</v>
      </c>
      <c r="R201" s="210"/>
      <c r="S201" s="211"/>
    </row>
    <row r="202" spans="5:19">
      <c r="E202" s="46" t="s">
        <v>6</v>
      </c>
      <c r="F202" s="212">
        <v>0.46706299511510802</v>
      </c>
      <c r="G202" s="213">
        <v>0.47770783165913</v>
      </c>
      <c r="H202" s="213">
        <v>0.475638469026267</v>
      </c>
      <c r="I202" s="213"/>
      <c r="J202" s="213">
        <v>0.36166666666666603</v>
      </c>
      <c r="K202" s="213">
        <v>-0.20422535211267601</v>
      </c>
      <c r="L202" s="214">
        <v>8.3333333333333301E-2</v>
      </c>
      <c r="M202" s="212"/>
      <c r="N202" s="213">
        <v>0.47108461991491002</v>
      </c>
      <c r="O202" s="213">
        <v>0.468691997154569</v>
      </c>
      <c r="P202" s="213">
        <v>0.47285963268967901</v>
      </c>
      <c r="Q202" s="213">
        <v>0.47152015777246498</v>
      </c>
      <c r="R202" s="213"/>
      <c r="S202" s="214"/>
    </row>
    <row r="203" spans="5:19">
      <c r="E203" s="44" t="s">
        <v>7</v>
      </c>
      <c r="F203" s="80">
        <v>6.4282303115092499E-3</v>
      </c>
      <c r="G203" s="81">
        <v>0.173242791723624</v>
      </c>
      <c r="H203" s="81">
        <v>0.16818113250938499</v>
      </c>
      <c r="I203" s="81">
        <v>-0.46130620893167001</v>
      </c>
      <c r="J203" s="81">
        <v>-0.46614308723484199</v>
      </c>
      <c r="K203" s="81">
        <v>1.23092881157391E-2</v>
      </c>
      <c r="L203" s="82">
        <v>1.55980730800451E-2</v>
      </c>
      <c r="M203" s="80">
        <v>0.16539098883471301</v>
      </c>
      <c r="N203" s="81">
        <v>9.5922440123630104E-2</v>
      </c>
      <c r="O203" s="81">
        <v>8.13170396929742E-4</v>
      </c>
      <c r="P203" s="81">
        <v>0.46848036926530501</v>
      </c>
      <c r="Q203" s="81">
        <v>0.45942604098180601</v>
      </c>
      <c r="R203" s="81">
        <v>9.9984956850832099E-2</v>
      </c>
      <c r="S203" s="82">
        <v>7.5183001923172899E-2</v>
      </c>
    </row>
    <row r="204" spans="5:19">
      <c r="E204" s="45" t="s">
        <v>8</v>
      </c>
      <c r="F204" s="83">
        <v>-0.16622703809425399</v>
      </c>
      <c r="G204" s="84">
        <v>-9.4511444590894696E-4</v>
      </c>
      <c r="H204" s="84">
        <v>0.16202640517104</v>
      </c>
      <c r="I204" s="84"/>
      <c r="J204" s="84"/>
      <c r="K204" s="84">
        <v>-2.1168918722018901E-2</v>
      </c>
      <c r="L204" s="85">
        <v>-1.8355324157345899E-2</v>
      </c>
      <c r="M204" s="83">
        <v>9.68399335291623E-2</v>
      </c>
      <c r="N204" s="84">
        <v>-4.4196595034216302E-2</v>
      </c>
      <c r="O204" s="84">
        <v>-0.16453062104244801</v>
      </c>
      <c r="P204" s="84">
        <v>0.46743576552731803</v>
      </c>
      <c r="Q204" s="84">
        <v>0.45536622920365499</v>
      </c>
      <c r="R204" s="84">
        <v>3.1203322499558199E-2</v>
      </c>
      <c r="S204" s="85">
        <v>2.0923455893924199E-2</v>
      </c>
    </row>
    <row r="205" spans="5:19">
      <c r="E205" s="45" t="s">
        <v>9</v>
      </c>
      <c r="F205" s="83">
        <v>-0.14671555463032401</v>
      </c>
      <c r="G205" s="84">
        <v>-0.105267336579261</v>
      </c>
      <c r="H205" s="84">
        <v>-1.28509969142577E-3</v>
      </c>
      <c r="I205" s="84">
        <v>-0.45169049147308599</v>
      </c>
      <c r="J205" s="84">
        <v>-0.442756410274118</v>
      </c>
      <c r="K205" s="84">
        <v>-8.5054951927254804E-2</v>
      </c>
      <c r="L205" s="85">
        <v>-7.2760641169861799E-3</v>
      </c>
      <c r="M205" s="83">
        <v>-2.8473420169660701E-2</v>
      </c>
      <c r="N205" s="84">
        <v>-0.17316116090330499</v>
      </c>
      <c r="O205" s="84">
        <v>-0.12069897043513</v>
      </c>
      <c r="P205" s="84">
        <v>0.39561146488499899</v>
      </c>
      <c r="Q205" s="84">
        <v>0.39097021884650301</v>
      </c>
      <c r="R205" s="84">
        <v>0.14391841530567201</v>
      </c>
      <c r="S205" s="85">
        <v>9.7395084993397302E-2</v>
      </c>
    </row>
    <row r="206" spans="5:19">
      <c r="E206" s="45" t="s">
        <v>10</v>
      </c>
      <c r="F206" s="83">
        <v>-3.5282881728610702E-2</v>
      </c>
      <c r="G206" s="84">
        <v>-3.6000773540697702E-2</v>
      </c>
      <c r="H206" s="84">
        <v>-3.9576251590506803E-2</v>
      </c>
      <c r="I206" s="84">
        <v>-0.201585695006747</v>
      </c>
      <c r="J206" s="84"/>
      <c r="K206" s="84">
        <v>-2.6878541307751001E-2</v>
      </c>
      <c r="L206" s="85">
        <v>-3.5482843402426897E-2</v>
      </c>
      <c r="M206" s="83">
        <v>1.90496152022205E-2</v>
      </c>
      <c r="N206" s="84">
        <v>-2.10228745239525E-2</v>
      </c>
      <c r="O206" s="84">
        <v>1.07335935080656E-2</v>
      </c>
      <c r="P206" s="84">
        <v>0.32669082125603799</v>
      </c>
      <c r="Q206" s="84"/>
      <c r="R206" s="84">
        <v>2.9424926319459099E-2</v>
      </c>
      <c r="S206" s="85">
        <v>1.86636842753613E-2</v>
      </c>
    </row>
    <row r="207" spans="5:19">
      <c r="E207" s="45" t="s">
        <v>11</v>
      </c>
      <c r="F207" s="83">
        <v>-0.442477781733493</v>
      </c>
      <c r="G207" s="84">
        <v>-0.44653335544279199</v>
      </c>
      <c r="H207" s="84">
        <v>-0.35795832872215699</v>
      </c>
      <c r="I207" s="84">
        <v>-0.49103127242350098</v>
      </c>
      <c r="J207" s="84">
        <v>-0.47902252970033499</v>
      </c>
      <c r="K207" s="84"/>
      <c r="L207" s="85"/>
      <c r="M207" s="83">
        <v>-0.43001176055395202</v>
      </c>
      <c r="N207" s="84">
        <v>-0.44517876729866401</v>
      </c>
      <c r="O207" s="84">
        <v>-0.44007874575026701</v>
      </c>
      <c r="P207" s="84">
        <v>-0.18965517241379301</v>
      </c>
      <c r="Q207" s="84"/>
      <c r="R207" s="84">
        <v>-9.1331269349845201E-2</v>
      </c>
      <c r="S207" s="85">
        <v>0.44893617021276599</v>
      </c>
    </row>
    <row r="208" spans="5:19">
      <c r="E208" s="45" t="s">
        <v>12</v>
      </c>
      <c r="F208" s="83">
        <v>-0.40549694034087702</v>
      </c>
      <c r="G208" s="84">
        <v>-0.44327696522288002</v>
      </c>
      <c r="H208" s="84">
        <v>-0.37573873008991798</v>
      </c>
      <c r="I208" s="84">
        <v>-0.47992129800786798</v>
      </c>
      <c r="J208" s="84">
        <v>-0.46009198022086001</v>
      </c>
      <c r="K208" s="84">
        <v>-0.219999999999999</v>
      </c>
      <c r="L208" s="85">
        <v>-0.314569536423841</v>
      </c>
      <c r="M208" s="83">
        <v>-0.398297614792951</v>
      </c>
      <c r="N208" s="84">
        <v>-0.40854290246817099</v>
      </c>
      <c r="O208" s="84">
        <v>-0.42260817889836</v>
      </c>
      <c r="P208" s="84">
        <v>0.11087225105016001</v>
      </c>
      <c r="Q208" s="84"/>
      <c r="R208" s="84">
        <v>-0.22102453102453101</v>
      </c>
      <c r="S208" s="85"/>
    </row>
    <row r="209" spans="5:19">
      <c r="E209" s="46" t="s">
        <v>13</v>
      </c>
      <c r="F209" s="86"/>
      <c r="G209" s="87">
        <v>-0.466440008603066</v>
      </c>
      <c r="H209" s="87">
        <v>-0.38778386264883102</v>
      </c>
      <c r="I209" s="87">
        <v>-0.47243476433528298</v>
      </c>
      <c r="J209" s="87">
        <v>-0.46026339080649697</v>
      </c>
      <c r="K209" s="87"/>
      <c r="L209" s="88">
        <v>-0.204545454545454</v>
      </c>
      <c r="M209" s="86">
        <v>-0.46882477099419001</v>
      </c>
      <c r="N209" s="87">
        <v>-0.47764888650850101</v>
      </c>
      <c r="O209" s="87">
        <v>-0.47352184687655902</v>
      </c>
      <c r="P209" s="87">
        <v>8.3333333333333301E-2</v>
      </c>
      <c r="Q209" s="87"/>
      <c r="R209" s="87">
        <v>-0.18701996927803299</v>
      </c>
      <c r="S209" s="88"/>
    </row>
  </sheetData>
  <mergeCells count="6">
    <mergeCell ref="E193:S193"/>
    <mergeCell ref="E22:S22"/>
    <mergeCell ref="E41:S41"/>
    <mergeCell ref="E59:S59"/>
    <mergeCell ref="E77:S77"/>
    <mergeCell ref="E95:S95"/>
  </mergeCells>
  <conditionalFormatting sqref="C7:C20">
    <cfRule type="colorScale" priority="2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2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2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2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2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2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2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1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96:S209">
    <cfRule type="colorScale" priority="1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1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1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1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4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5F4E0427-2DA5-844F-AF13-9B6318FFDDC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F114:S127</xm:sqref>
        </x14:conditionalFormatting>
        <x14:conditionalFormatting xmlns:xm="http://schemas.microsoft.com/office/excel/2006/main">
          <x14:cfRule type="iconSet" priority="4" id="{9EEE7C23-74E3-934C-A7D4-5A684588F2E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F130:S143</xm:sqref>
        </x14:conditionalFormatting>
        <x14:conditionalFormatting xmlns:xm="http://schemas.microsoft.com/office/excel/2006/main">
          <x14:cfRule type="iconSet" priority="3" id="{0CD3E8BA-E8CA-DB4F-A067-88EA29D07F7F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F146:S159</xm:sqref>
        </x14:conditionalFormatting>
        <x14:conditionalFormatting xmlns:xm="http://schemas.microsoft.com/office/excel/2006/main">
          <x14:cfRule type="iconSet" priority="2" id="{B4561B20-BF68-FB40-8B14-37E6595DA80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F162:S175</xm:sqref>
        </x14:conditionalFormatting>
        <x14:conditionalFormatting xmlns:xm="http://schemas.microsoft.com/office/excel/2006/main">
          <x14:cfRule type="iconSet" priority="1" id="{4F01A7DB-BCD3-0042-B8F4-409DD67EFCEA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F178:S191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Simul</vt:lpstr>
      <vt:lpstr>Simul_CME</vt:lpstr>
      <vt:lpstr>Simul_DOL</vt:lpstr>
      <vt:lpstr>Simul_WDO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Carreira</dc:creator>
  <cp:lastModifiedBy>Marcos Carreira</cp:lastModifiedBy>
  <dcterms:created xsi:type="dcterms:W3CDTF">2020-06-04T10:40:44Z</dcterms:created>
  <dcterms:modified xsi:type="dcterms:W3CDTF">2020-06-10T00:23:19Z</dcterms:modified>
</cp:coreProperties>
</file>