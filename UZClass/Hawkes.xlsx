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oscscarreira/My Papers/UZModelUncertainty/UZClass/"/>
    </mc:Choice>
  </mc:AlternateContent>
  <xr:revisionPtr revIDLastSave="0" documentId="13_ncr:1_{CD74D46F-73B1-E74D-B115-B5B1B4DE64A4}" xr6:coauthVersionLast="45" xr6:coauthVersionMax="45" xr10:uidLastSave="{00000000-0000-0000-0000-000000000000}"/>
  <bookViews>
    <workbookView xWindow="-29380" yWindow="460" windowWidth="26440" windowHeight="31920" activeTab="2" xr2:uid="{4FD1F5F7-7938-2F46-84BB-B96EA2FA67D0}"/>
  </bookViews>
  <sheets>
    <sheet name="Simul" sheetId="9" r:id="rId1"/>
    <sheet name="Simul_DOL" sheetId="10" r:id="rId2"/>
    <sheet name="Simul_WDO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75" i="11" l="1"/>
  <c r="Y74" i="11"/>
  <c r="V74" i="11"/>
  <c r="Y73" i="11"/>
  <c r="V73" i="11" s="1"/>
  <c r="Y72" i="11"/>
  <c r="V72" i="11"/>
  <c r="Y71" i="11"/>
  <c r="V71" i="11"/>
  <c r="Y70" i="11"/>
  <c r="V70" i="11"/>
  <c r="Y69" i="11"/>
  <c r="V69" i="11"/>
  <c r="Y68" i="11"/>
  <c r="V68" i="11" s="1"/>
  <c r="Y67" i="11"/>
  <c r="Y66" i="11"/>
  <c r="Y65" i="11"/>
  <c r="V65" i="11"/>
  <c r="Y64" i="11"/>
  <c r="V64" i="11"/>
  <c r="Y63" i="11"/>
  <c r="V63" i="11" s="1"/>
  <c r="Y62" i="11"/>
  <c r="Y77" i="11" s="1"/>
  <c r="V77" i="11" s="1"/>
  <c r="V62" i="11"/>
  <c r="Z54" i="11"/>
  <c r="Z50" i="11"/>
  <c r="Z48" i="11"/>
  <c r="Z45" i="11"/>
  <c r="Y22" i="11"/>
  <c r="Z44" i="11" s="1"/>
  <c r="V3" i="11"/>
  <c r="V66" i="11" s="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Y75" i="10"/>
  <c r="Y74" i="10"/>
  <c r="V74" i="10" s="1"/>
  <c r="Y73" i="10"/>
  <c r="V73" i="10"/>
  <c r="Y72" i="10"/>
  <c r="V72" i="10"/>
  <c r="Y71" i="10"/>
  <c r="V71" i="10"/>
  <c r="Y70" i="10"/>
  <c r="V70" i="10"/>
  <c r="Y69" i="10"/>
  <c r="V69" i="10"/>
  <c r="Y68" i="10"/>
  <c r="V68" i="10" s="1"/>
  <c r="Y67" i="10"/>
  <c r="Y66" i="10"/>
  <c r="Y65" i="10"/>
  <c r="V65" i="10"/>
  <c r="Y64" i="10"/>
  <c r="V64" i="10"/>
  <c r="Y63" i="10"/>
  <c r="V63" i="10"/>
  <c r="Y62" i="10"/>
  <c r="Y77" i="10" s="1"/>
  <c r="V77" i="10" s="1"/>
  <c r="Z54" i="10"/>
  <c r="Z50" i="10"/>
  <c r="Z48" i="10"/>
  <c r="Z45" i="10"/>
  <c r="Y22" i="10"/>
  <c r="Z44" i="10" s="1"/>
  <c r="V3" i="10"/>
  <c r="V66" i="10" s="1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V75" i="9"/>
  <c r="V73" i="9"/>
  <c r="V72" i="9"/>
  <c r="V71" i="9"/>
  <c r="V66" i="9"/>
  <c r="V64" i="9"/>
  <c r="Y75" i="9"/>
  <c r="Y74" i="9"/>
  <c r="V74" i="9" s="1"/>
  <c r="Y73" i="9"/>
  <c r="Y72" i="9"/>
  <c r="Y71" i="9"/>
  <c r="Y70" i="9"/>
  <c r="V70" i="9" s="1"/>
  <c r="Y69" i="9"/>
  <c r="V69" i="9" s="1"/>
  <c r="Y68" i="9"/>
  <c r="V68" i="9" s="1"/>
  <c r="Y67" i="9"/>
  <c r="V67" i="9" s="1"/>
  <c r="Y66" i="9"/>
  <c r="Y65" i="9"/>
  <c r="V65" i="9" s="1"/>
  <c r="Y64" i="9"/>
  <c r="Y63" i="9"/>
  <c r="V63" i="9" s="1"/>
  <c r="Y62" i="9"/>
  <c r="V62" i="9" s="1"/>
  <c r="Z54" i="9"/>
  <c r="Z50" i="9"/>
  <c r="Z48" i="9"/>
  <c r="Z45" i="9"/>
  <c r="Y22" i="9"/>
  <c r="Z44" i="9" s="1"/>
  <c r="S3" i="9"/>
  <c r="R3" i="9"/>
  <c r="M3" i="9"/>
  <c r="V3" i="9"/>
  <c r="Q3" i="9"/>
  <c r="P3" i="9"/>
  <c r="O3" i="9"/>
  <c r="N3" i="9"/>
  <c r="L3" i="9"/>
  <c r="K3" i="9"/>
  <c r="J3" i="9"/>
  <c r="I3" i="9"/>
  <c r="H3" i="9"/>
  <c r="G3" i="9"/>
  <c r="F3" i="9"/>
  <c r="V22" i="11" l="1"/>
  <c r="V67" i="11"/>
  <c r="V75" i="11"/>
  <c r="Y77" i="9"/>
  <c r="V77" i="9" s="1"/>
  <c r="V67" i="10"/>
  <c r="V75" i="10"/>
  <c r="V22" i="10"/>
  <c r="V62" i="10"/>
  <c r="V22" i="9"/>
</calcChain>
</file>

<file path=xl/sharedStrings.xml><?xml version="1.0" encoding="utf-8"?>
<sst xmlns="http://schemas.openxmlformats.org/spreadsheetml/2006/main" count="1002" uniqueCount="40">
  <si>
    <t>L_B</t>
  </si>
  <si>
    <t>C_A</t>
  </si>
  <si>
    <t>M_A</t>
  </si>
  <si>
    <t>I_B</t>
  </si>
  <si>
    <t>DmI_A</t>
  </si>
  <si>
    <t>Dm_A</t>
  </si>
  <si>
    <t>Dc_A</t>
  </si>
  <si>
    <t>L_A</t>
  </si>
  <si>
    <t>C_B</t>
  </si>
  <si>
    <t>M_B</t>
  </si>
  <si>
    <t>I_A</t>
  </si>
  <si>
    <t>DmI_B</t>
  </si>
  <si>
    <t>Dm_B</t>
  </si>
  <si>
    <t>Dc_B</t>
  </si>
  <si>
    <t>Baseline</t>
  </si>
  <si>
    <t>Decay</t>
  </si>
  <si>
    <t>Index</t>
  </si>
  <si>
    <t>Runtime</t>
  </si>
  <si>
    <t>Mean Intensity</t>
  </si>
  <si>
    <t>Count</t>
  </si>
  <si>
    <t>Total</t>
  </si>
  <si>
    <t>Event</t>
  </si>
  <si>
    <t>Mean spread</t>
  </si>
  <si>
    <t>Insert fails</t>
  </si>
  <si>
    <t>Total trades</t>
  </si>
  <si>
    <t>Insert fails %</t>
  </si>
  <si>
    <t>Seed</t>
  </si>
  <si>
    <t>eta</t>
  </si>
  <si>
    <t>Sum of abs price changes</t>
  </si>
  <si>
    <t>Mean of price changes</t>
  </si>
  <si>
    <t>Nr of price changes</t>
  </si>
  <si>
    <t>Mean of abs price changes</t>
  </si>
  <si>
    <t>Price move</t>
  </si>
  <si>
    <t>Simulated Counts</t>
  </si>
  <si>
    <t>Real Counts</t>
  </si>
  <si>
    <t>Simulated Durations</t>
  </si>
  <si>
    <t>Real Durations</t>
  </si>
  <si>
    <t>Total events</t>
  </si>
  <si>
    <t>Real Imbalance</t>
  </si>
  <si>
    <t>Calibrated Adacency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</si>
</sst>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;\-#,##0.000;&quot;-&quot;\ "/>
    <numFmt numFmtId="165" formatCode="#,##0.0;\-#,##0.0;&quot;-&quot;\ "/>
    <numFmt numFmtId="166" formatCode="#,##0;\-#,##0;&quot;-&quot;\ "/>
    <numFmt numFmtId="167" formatCode="0.000"/>
    <numFmt numFmtId="168" formatCode="0.0000"/>
    <numFmt numFmtId="169" formatCode="#,##0.00;\-#,##0.00;&quot;-&quot;\ "/>
  </numFmts>
  <fonts count="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00206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79">
    <fill>
      <patternFill patternType="none"/>
    </fill>
    <fill>
      <patternFill patternType="gray125"/>
    </fill>
    <fill>
      <patternFill patternType="solid">
        <fgColor rgb="FF44C5F4"/>
        <bgColor rgb="FF000000"/>
      </patternFill>
    </fill>
    <fill>
      <patternFill patternType="solid">
        <fgColor rgb="FFBFECFC"/>
        <bgColor rgb="FF000000"/>
      </patternFill>
    </fill>
    <fill>
      <patternFill patternType="solid">
        <fgColor rgb="FFF7FDFF"/>
        <bgColor rgb="FF000000"/>
      </patternFill>
    </fill>
    <fill>
      <patternFill patternType="solid">
        <fgColor rgb="FFFAFEFF"/>
        <bgColor rgb="FF000000"/>
      </patternFill>
    </fill>
    <fill>
      <patternFill patternType="solid">
        <fgColor rgb="FFFF2E2E"/>
        <bgColor rgb="FF000000"/>
      </patternFill>
    </fill>
    <fill>
      <patternFill patternType="solid">
        <fgColor rgb="FFFE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AF9FE"/>
        <bgColor rgb="FF000000"/>
      </patternFill>
    </fill>
    <fill>
      <patternFill patternType="solid">
        <fgColor rgb="FFCEF0FD"/>
        <bgColor rgb="FF000000"/>
      </patternFill>
    </fill>
    <fill>
      <patternFill patternType="solid">
        <fgColor rgb="FFFBFEFF"/>
        <bgColor rgb="FF000000"/>
      </patternFill>
    </fill>
    <fill>
      <patternFill patternType="solid">
        <fgColor rgb="FFFF2A2A"/>
        <bgColor rgb="FF000000"/>
      </patternFill>
    </fill>
    <fill>
      <patternFill patternType="solid">
        <fgColor rgb="FFC5EDFC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DFFFF"/>
        <bgColor rgb="FF000000"/>
      </patternFill>
    </fill>
    <fill>
      <patternFill patternType="solid">
        <fgColor rgb="FFBCEBFC"/>
        <bgColor rgb="FF000000"/>
      </patternFill>
    </fill>
    <fill>
      <patternFill patternType="solid">
        <fgColor rgb="FFE7F8FE"/>
        <bgColor rgb="FF000000"/>
      </patternFill>
    </fill>
    <fill>
      <patternFill patternType="solid">
        <fgColor rgb="FFF9FEFF"/>
        <bgColor rgb="FF000000"/>
      </patternFill>
    </fill>
    <fill>
      <patternFill patternType="solid">
        <fgColor rgb="FFFCFEFF"/>
        <bgColor rgb="FF000000"/>
      </patternFill>
    </fill>
    <fill>
      <patternFill patternType="solid">
        <fgColor rgb="FFFF2C2C"/>
        <bgColor rgb="FF000000"/>
      </patternFill>
    </fill>
    <fill>
      <patternFill patternType="solid">
        <fgColor rgb="FFFF0808"/>
        <bgColor rgb="FF000000"/>
      </patternFill>
    </fill>
    <fill>
      <patternFill patternType="solid">
        <fgColor rgb="FFFF0F0F"/>
        <bgColor rgb="FF000000"/>
      </patternFill>
    </fill>
    <fill>
      <patternFill patternType="solid">
        <fgColor rgb="FFFF0707"/>
        <bgColor rgb="FF000000"/>
      </patternFill>
    </fill>
    <fill>
      <patternFill patternType="solid">
        <fgColor rgb="FFFF7070"/>
        <bgColor rgb="FF000000"/>
      </patternFill>
    </fill>
    <fill>
      <patternFill patternType="solid">
        <fgColor rgb="FFFF1212"/>
        <bgColor rgb="FF000000"/>
      </patternFill>
    </fill>
    <fill>
      <patternFill patternType="solid">
        <fgColor rgb="FFFF7A7A"/>
        <bgColor rgb="FF000000"/>
      </patternFill>
    </fill>
    <fill>
      <patternFill patternType="solid">
        <fgColor rgb="FFFF0909"/>
        <bgColor rgb="FF000000"/>
      </patternFill>
    </fill>
    <fill>
      <patternFill patternType="solid">
        <fgColor rgb="FFFF0E0E"/>
        <bgColor rgb="FF000000"/>
      </patternFill>
    </fill>
    <fill>
      <patternFill patternType="solid">
        <fgColor rgb="FFFFBABA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3838"/>
        <bgColor rgb="FF000000"/>
      </patternFill>
    </fill>
    <fill>
      <patternFill patternType="solid">
        <fgColor rgb="FFFF0202"/>
        <bgColor rgb="FF000000"/>
      </patternFill>
    </fill>
    <fill>
      <patternFill patternType="solid">
        <fgColor rgb="FFFFEEEE"/>
        <bgColor rgb="FF000000"/>
      </patternFill>
    </fill>
    <fill>
      <patternFill patternType="solid">
        <fgColor rgb="FFFFB0B0"/>
        <bgColor rgb="FF000000"/>
      </patternFill>
    </fill>
    <fill>
      <patternFill patternType="solid">
        <fgColor rgb="FFFFA0A0"/>
        <bgColor rgb="FF000000"/>
      </patternFill>
    </fill>
    <fill>
      <patternFill patternType="solid">
        <fgColor rgb="FFFF3D3D"/>
        <bgColor rgb="FF000000"/>
      </patternFill>
    </fill>
    <fill>
      <patternFill patternType="solid">
        <fgColor rgb="FFFF9B9B"/>
        <bgColor rgb="FF000000"/>
      </patternFill>
    </fill>
    <fill>
      <patternFill patternType="solid">
        <fgColor rgb="FFFFB2B2"/>
        <bgColor rgb="FF000000"/>
      </patternFill>
    </fill>
    <fill>
      <patternFill patternType="solid">
        <fgColor rgb="FFFFDDDD"/>
        <bgColor rgb="FF000000"/>
      </patternFill>
    </fill>
    <fill>
      <patternFill patternType="solid">
        <fgColor rgb="FFFF7373"/>
        <bgColor rgb="FF000000"/>
      </patternFill>
    </fill>
    <fill>
      <patternFill patternType="solid">
        <fgColor rgb="FFFF0D0D"/>
        <bgColor rgb="FF000000"/>
      </patternFill>
    </fill>
    <fill>
      <patternFill patternType="solid">
        <fgColor rgb="FFFF8787"/>
        <bgColor rgb="FF000000"/>
      </patternFill>
    </fill>
    <fill>
      <patternFill patternType="solid">
        <fgColor rgb="FFFFF2F2"/>
        <bgColor rgb="FF000000"/>
      </patternFill>
    </fill>
    <fill>
      <patternFill patternType="solid">
        <fgColor rgb="FFFF5F5F"/>
        <bgColor rgb="FF000000"/>
      </patternFill>
    </fill>
    <fill>
      <patternFill patternType="solid">
        <fgColor rgb="FFFCFFFF"/>
        <bgColor rgb="FF000000"/>
      </patternFill>
    </fill>
    <fill>
      <patternFill patternType="solid">
        <fgColor rgb="FFFF1111"/>
        <bgColor rgb="FF000000"/>
      </patternFill>
    </fill>
    <fill>
      <patternFill patternType="solid">
        <fgColor rgb="FFC4EDFC"/>
        <bgColor rgb="FF000000"/>
      </patternFill>
    </fill>
    <fill>
      <patternFill patternType="solid">
        <fgColor rgb="FFFF3737"/>
        <bgColor rgb="FF000000"/>
      </patternFill>
    </fill>
    <fill>
      <patternFill patternType="solid">
        <fgColor rgb="FF23BBF3"/>
        <bgColor rgb="FF000000"/>
      </patternFill>
    </fill>
    <fill>
      <patternFill patternType="solid">
        <fgColor rgb="FFF8FDFF"/>
        <bgColor rgb="FF000000"/>
      </patternFill>
    </fill>
    <fill>
      <patternFill patternType="solid">
        <fgColor rgb="FFFF3F3F"/>
        <bgColor rgb="FF000000"/>
      </patternFill>
    </fill>
    <fill>
      <patternFill patternType="solid">
        <fgColor rgb="FFC7EEFC"/>
        <bgColor rgb="FF000000"/>
      </patternFill>
    </fill>
    <fill>
      <patternFill patternType="solid">
        <fgColor rgb="FFE8F8FE"/>
        <bgColor rgb="FF000000"/>
      </patternFill>
    </fill>
    <fill>
      <patternFill patternType="solid">
        <fgColor rgb="FFC2ECFC"/>
        <bgColor rgb="FF000000"/>
      </patternFill>
    </fill>
    <fill>
      <patternFill patternType="solid">
        <fgColor rgb="FFFF4C4C"/>
        <bgColor rgb="FF000000"/>
      </patternFill>
    </fill>
    <fill>
      <patternFill patternType="solid">
        <fgColor rgb="FFFF1F1F"/>
        <bgColor rgb="FF000000"/>
      </patternFill>
    </fill>
    <fill>
      <patternFill patternType="solid">
        <fgColor rgb="FFFF7777"/>
        <bgColor rgb="FF000000"/>
      </patternFill>
    </fill>
    <fill>
      <patternFill patternType="solid">
        <fgColor rgb="FFFF3333"/>
        <bgColor rgb="FF000000"/>
      </patternFill>
    </fill>
    <fill>
      <patternFill patternType="solid">
        <fgColor rgb="FFFF0A0A"/>
        <bgColor rgb="FF000000"/>
      </patternFill>
    </fill>
    <fill>
      <patternFill patternType="solid">
        <fgColor rgb="FFFF2020"/>
        <bgColor rgb="FF000000"/>
      </patternFill>
    </fill>
    <fill>
      <patternFill patternType="solid">
        <fgColor rgb="FFFF0505"/>
        <bgColor rgb="FF000000"/>
      </patternFill>
    </fill>
    <fill>
      <patternFill patternType="solid">
        <fgColor rgb="FFFF0404"/>
        <bgColor rgb="FF000000"/>
      </patternFill>
    </fill>
    <fill>
      <patternFill patternType="solid">
        <fgColor rgb="FFFF1515"/>
        <bgColor rgb="FF000000"/>
      </patternFill>
    </fill>
    <fill>
      <patternFill patternType="solid">
        <fgColor rgb="FFFFFDFD"/>
        <bgColor rgb="FF000000"/>
      </patternFill>
    </fill>
    <fill>
      <patternFill patternType="solid">
        <fgColor rgb="FFFFE9E9"/>
        <bgColor rgb="FF000000"/>
      </patternFill>
    </fill>
    <fill>
      <patternFill patternType="solid">
        <fgColor rgb="FFFF9292"/>
        <bgColor rgb="FF000000"/>
      </patternFill>
    </fill>
    <fill>
      <patternFill patternType="solid">
        <fgColor rgb="FFFF3E3E"/>
        <bgColor rgb="FF000000"/>
      </patternFill>
    </fill>
    <fill>
      <patternFill patternType="solid">
        <fgColor rgb="FFFF8383"/>
        <bgColor rgb="FF000000"/>
      </patternFill>
    </fill>
    <fill>
      <patternFill patternType="solid">
        <fgColor rgb="FFFFCACA"/>
        <bgColor rgb="FF000000"/>
      </patternFill>
    </fill>
    <fill>
      <patternFill patternType="solid">
        <fgColor rgb="FFFFA8A8"/>
        <bgColor rgb="FF000000"/>
      </patternFill>
    </fill>
    <fill>
      <patternFill patternType="solid">
        <fgColor rgb="FFFFA3A3"/>
        <bgColor rgb="FF000000"/>
      </patternFill>
    </fill>
    <fill>
      <patternFill patternType="solid">
        <fgColor rgb="FFFF2B2B"/>
        <bgColor rgb="FF000000"/>
      </patternFill>
    </fill>
    <fill>
      <patternFill patternType="solid">
        <fgColor rgb="FFFF0101"/>
        <bgColor rgb="FF000000"/>
      </patternFill>
    </fill>
    <fill>
      <patternFill patternType="solid">
        <fgColor rgb="FFFF6262"/>
        <bgColor rgb="FF000000"/>
      </patternFill>
    </fill>
    <fill>
      <patternFill patternType="solid">
        <fgColor rgb="FFFF8F8F"/>
        <bgColor rgb="FF000000"/>
      </patternFill>
    </fill>
    <fill>
      <patternFill patternType="solid">
        <fgColor rgb="FFFFD7D7"/>
        <bgColor rgb="FF000000"/>
      </patternFill>
    </fill>
    <fill>
      <patternFill patternType="solid">
        <fgColor rgb="FFFFF5F5"/>
        <bgColor rgb="FF000000"/>
      </patternFill>
    </fill>
    <fill>
      <patternFill patternType="solid">
        <fgColor rgb="FFFF5A5A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164" fontId="2" fillId="0" borderId="2" xfId="0" applyNumberFormat="1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164" fontId="2" fillId="0" borderId="8" xfId="0" applyNumberFormat="1" applyFont="1" applyBorder="1"/>
    <xf numFmtId="164" fontId="2" fillId="0" borderId="9" xfId="0" applyNumberFormat="1" applyFont="1" applyBorder="1"/>
    <xf numFmtId="164" fontId="2" fillId="0" borderId="10" xfId="0" applyNumberFormat="1" applyFont="1" applyBorder="1"/>
    <xf numFmtId="164" fontId="2" fillId="0" borderId="11" xfId="0" applyNumberFormat="1" applyFont="1" applyBorder="1"/>
    <xf numFmtId="164" fontId="2" fillId="0" borderId="0" xfId="0" applyNumberFormat="1" applyFont="1" applyBorder="1"/>
    <xf numFmtId="164" fontId="2" fillId="0" borderId="12" xfId="0" applyNumberFormat="1" applyFont="1" applyBorder="1"/>
    <xf numFmtId="164" fontId="2" fillId="0" borderId="13" xfId="0" applyNumberFormat="1" applyFont="1" applyBorder="1"/>
    <xf numFmtId="164" fontId="2" fillId="0" borderId="14" xfId="0" applyNumberFormat="1" applyFont="1" applyBorder="1"/>
    <xf numFmtId="164" fontId="2" fillId="0" borderId="15" xfId="0" applyNumberFormat="1" applyFont="1" applyBorder="1"/>
    <xf numFmtId="0" fontId="0" fillId="0" borderId="0" xfId="0" applyBorder="1"/>
    <xf numFmtId="164" fontId="2" fillId="0" borderId="5" xfId="0" applyNumberFormat="1" applyFont="1" applyBorder="1"/>
    <xf numFmtId="164" fontId="2" fillId="0" borderId="6" xfId="0" applyNumberFormat="1" applyFont="1" applyBorder="1"/>
    <xf numFmtId="164" fontId="2" fillId="0" borderId="7" xfId="0" applyNumberFormat="1" applyFont="1" applyBorder="1"/>
    <xf numFmtId="0" fontId="0" fillId="0" borderId="1" xfId="0" applyBorder="1" applyAlignment="1">
      <alignment horizontal="right"/>
    </xf>
    <xf numFmtId="165" fontId="0" fillId="0" borderId="1" xfId="0" applyNumberFormat="1" applyBorder="1"/>
    <xf numFmtId="164" fontId="3" fillId="0" borderId="2" xfId="0" applyNumberFormat="1" applyFont="1" applyBorder="1"/>
    <xf numFmtId="164" fontId="3" fillId="0" borderId="3" xfId="0" applyNumberFormat="1" applyFont="1" applyBorder="1"/>
    <xf numFmtId="164" fontId="3" fillId="0" borderId="4" xfId="0" applyNumberFormat="1" applyFont="1" applyBorder="1"/>
    <xf numFmtId="164" fontId="3" fillId="0" borderId="8" xfId="0" applyNumberFormat="1" applyFont="1" applyBorder="1"/>
    <xf numFmtId="164" fontId="3" fillId="0" borderId="0" xfId="0" applyNumberFormat="1" applyFont="1" applyBorder="1"/>
    <xf numFmtId="164" fontId="3" fillId="0" borderId="9" xfId="0" applyNumberFormat="1" applyFont="1" applyBorder="1"/>
    <xf numFmtId="164" fontId="3" fillId="0" borderId="11" xfId="0" applyNumberFormat="1" applyFont="1" applyBorder="1"/>
    <xf numFmtId="164" fontId="3" fillId="0" borderId="10" xfId="0" applyNumberFormat="1" applyFont="1" applyBorder="1"/>
    <xf numFmtId="164" fontId="3" fillId="0" borderId="12" xfId="0" applyNumberFormat="1" applyFont="1" applyBorder="1"/>
    <xf numFmtId="164" fontId="3" fillId="0" borderId="15" xfId="0" applyNumberFormat="1" applyFont="1" applyBorder="1"/>
    <xf numFmtId="164" fontId="3" fillId="0" borderId="14" xfId="0" applyNumberFormat="1" applyFont="1" applyBorder="1"/>
    <xf numFmtId="164" fontId="3" fillId="0" borderId="13" xfId="0" applyNumberFormat="1" applyFont="1" applyBorder="1"/>
    <xf numFmtId="165" fontId="4" fillId="0" borderId="1" xfId="0" applyNumberFormat="1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166" fontId="2" fillId="0" borderId="2" xfId="0" applyNumberFormat="1" applyFont="1" applyBorder="1"/>
    <xf numFmtId="166" fontId="2" fillId="0" borderId="3" xfId="0" applyNumberFormat="1" applyFont="1" applyBorder="1"/>
    <xf numFmtId="166" fontId="2" fillId="0" borderId="4" xfId="0" applyNumberFormat="1" applyFont="1" applyBorder="1"/>
    <xf numFmtId="166" fontId="2" fillId="0" borderId="0" xfId="0" applyNumberFormat="1" applyFont="1"/>
    <xf numFmtId="166" fontId="2" fillId="0" borderId="1" xfId="0" applyNumberFormat="1" applyFont="1" applyBorder="1"/>
    <xf numFmtId="0" fontId="2" fillId="0" borderId="0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164" fontId="2" fillId="0" borderId="1" xfId="0" applyNumberFormat="1" applyFont="1" applyBorder="1"/>
    <xf numFmtId="166" fontId="3" fillId="0" borderId="8" xfId="0" applyNumberFormat="1" applyFont="1" applyBorder="1"/>
    <xf numFmtId="166" fontId="3" fillId="0" borderId="9" xfId="0" applyNumberFormat="1" applyFont="1" applyBorder="1"/>
    <xf numFmtId="166" fontId="3" fillId="0" borderId="10" xfId="0" applyNumberFormat="1" applyFont="1" applyBorder="1"/>
    <xf numFmtId="166" fontId="3" fillId="0" borderId="11" xfId="0" applyNumberFormat="1" applyFont="1" applyBorder="1"/>
    <xf numFmtId="166" fontId="3" fillId="0" borderId="0" xfId="0" applyNumberFormat="1" applyFont="1" applyBorder="1"/>
    <xf numFmtId="166" fontId="3" fillId="0" borderId="12" xfId="0" applyNumberFormat="1" applyFont="1" applyBorder="1"/>
    <xf numFmtId="166" fontId="3" fillId="0" borderId="13" xfId="0" applyNumberFormat="1" applyFont="1" applyBorder="1"/>
    <xf numFmtId="166" fontId="3" fillId="0" borderId="14" xfId="0" applyNumberFormat="1" applyFont="1" applyBorder="1"/>
    <xf numFmtId="166" fontId="3" fillId="0" borderId="15" xfId="0" applyNumberFormat="1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166" fontId="2" fillId="0" borderId="10" xfId="0" applyNumberFormat="1" applyFont="1" applyBorder="1"/>
    <xf numFmtId="166" fontId="2" fillId="0" borderId="11" xfId="0" applyNumberFormat="1" applyFont="1" applyBorder="1"/>
    <xf numFmtId="166" fontId="2" fillId="0" borderId="0" xfId="0" applyNumberFormat="1" applyFont="1" applyBorder="1"/>
    <xf numFmtId="166" fontId="2" fillId="0" borderId="12" xfId="0" applyNumberFormat="1" applyFont="1" applyBorder="1"/>
    <xf numFmtId="166" fontId="2" fillId="0" borderId="13" xfId="0" applyNumberFormat="1" applyFont="1" applyBorder="1"/>
    <xf numFmtId="166" fontId="2" fillId="0" borderId="14" xfId="0" applyNumberFormat="1" applyFont="1" applyBorder="1"/>
    <xf numFmtId="166" fontId="2" fillId="0" borderId="15" xfId="0" applyNumberFormat="1" applyFont="1" applyBorder="1"/>
    <xf numFmtId="0" fontId="2" fillId="0" borderId="0" xfId="0" applyFont="1"/>
    <xf numFmtId="2" fontId="2" fillId="0" borderId="0" xfId="0" applyNumberFormat="1" applyFont="1"/>
    <xf numFmtId="9" fontId="2" fillId="0" borderId="0" xfId="1" applyFont="1"/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166" fontId="5" fillId="0" borderId="1" xfId="0" applyNumberFormat="1" applyFont="1" applyBorder="1"/>
    <xf numFmtId="0" fontId="5" fillId="0" borderId="1" xfId="0" applyFont="1" applyBorder="1" applyAlignment="1">
      <alignment horizontal="right"/>
    </xf>
    <xf numFmtId="167" fontId="2" fillId="0" borderId="0" xfId="0" applyNumberFormat="1" applyFont="1"/>
    <xf numFmtId="168" fontId="2" fillId="0" borderId="0" xfId="0" applyNumberFormat="1" applyFont="1"/>
    <xf numFmtId="169" fontId="2" fillId="0" borderId="8" xfId="0" applyNumberFormat="1" applyFont="1" applyBorder="1"/>
    <xf numFmtId="169" fontId="2" fillId="0" borderId="9" xfId="0" applyNumberFormat="1" applyFont="1" applyBorder="1"/>
    <xf numFmtId="169" fontId="2" fillId="0" borderId="10" xfId="0" applyNumberFormat="1" applyFont="1" applyBorder="1"/>
    <xf numFmtId="169" fontId="2" fillId="0" borderId="11" xfId="0" applyNumberFormat="1" applyFont="1" applyBorder="1"/>
    <xf numFmtId="169" fontId="2" fillId="0" borderId="0" xfId="0" applyNumberFormat="1" applyFont="1" applyBorder="1"/>
    <xf numFmtId="169" fontId="2" fillId="0" borderId="12" xfId="0" applyNumberFormat="1" applyFont="1" applyBorder="1"/>
    <xf numFmtId="169" fontId="2" fillId="0" borderId="13" xfId="0" applyNumberFormat="1" applyFont="1" applyBorder="1"/>
    <xf numFmtId="169" fontId="2" fillId="0" borderId="14" xfId="0" applyNumberFormat="1" applyFont="1" applyBorder="1"/>
    <xf numFmtId="169" fontId="2" fillId="0" borderId="15" xfId="0" applyNumberFormat="1" applyFont="1" applyBorder="1"/>
    <xf numFmtId="166" fontId="6" fillId="2" borderId="8" xfId="0" applyNumberFormat="1" applyFont="1" applyFill="1" applyBorder="1"/>
    <xf numFmtId="166" fontId="6" fillId="3" borderId="9" xfId="0" applyNumberFormat="1" applyFont="1" applyFill="1" applyBorder="1"/>
    <xf numFmtId="166" fontId="6" fillId="4" borderId="9" xfId="0" applyNumberFormat="1" applyFont="1" applyFill="1" applyBorder="1"/>
    <xf numFmtId="166" fontId="6" fillId="5" borderId="9" xfId="0" applyNumberFormat="1" applyFont="1" applyFill="1" applyBorder="1"/>
    <xf numFmtId="166" fontId="6" fillId="6" borderId="9" xfId="0" applyNumberFormat="1" applyFont="1" applyFill="1" applyBorder="1"/>
    <xf numFmtId="166" fontId="6" fillId="7" borderId="9" xfId="0" applyNumberFormat="1" applyFont="1" applyFill="1" applyBorder="1"/>
    <xf numFmtId="166" fontId="6" fillId="8" borderId="10" xfId="0" applyNumberFormat="1" applyFont="1" applyFill="1" applyBorder="1"/>
    <xf numFmtId="166" fontId="6" fillId="9" borderId="8" xfId="0" applyNumberFormat="1" applyFont="1" applyFill="1" applyBorder="1"/>
    <xf numFmtId="166" fontId="6" fillId="10" borderId="9" xfId="0" applyNumberFormat="1" applyFont="1" applyFill="1" applyBorder="1"/>
    <xf numFmtId="166" fontId="6" fillId="8" borderId="9" xfId="0" applyNumberFormat="1" applyFont="1" applyFill="1" applyBorder="1"/>
    <xf numFmtId="166" fontId="6" fillId="11" borderId="9" xfId="0" applyNumberFormat="1" applyFont="1" applyFill="1" applyBorder="1"/>
    <xf numFmtId="166" fontId="6" fillId="12" borderId="9" xfId="0" applyNumberFormat="1" applyFont="1" applyFill="1" applyBorder="1"/>
    <xf numFmtId="166" fontId="6" fillId="13" borderId="11" xfId="0" applyNumberFormat="1" applyFont="1" applyFill="1" applyBorder="1"/>
    <xf numFmtId="166" fontId="6" fillId="14" borderId="0" xfId="0" applyNumberFormat="1" applyFont="1" applyFill="1"/>
    <xf numFmtId="166" fontId="6" fillId="11" borderId="0" xfId="0" applyNumberFormat="1" applyFont="1" applyFill="1"/>
    <xf numFmtId="166" fontId="6" fillId="4" borderId="0" xfId="0" applyNumberFormat="1" applyFont="1" applyFill="1"/>
    <xf numFmtId="166" fontId="6" fillId="7" borderId="0" xfId="0" applyNumberFormat="1" applyFont="1" applyFill="1"/>
    <xf numFmtId="166" fontId="6" fillId="15" borderId="0" xfId="0" applyNumberFormat="1" applyFont="1" applyFill="1"/>
    <xf numFmtId="166" fontId="6" fillId="7" borderId="12" xfId="0" applyNumberFormat="1" applyFont="1" applyFill="1" applyBorder="1"/>
    <xf numFmtId="166" fontId="6" fillId="16" borderId="11" xfId="0" applyNumberFormat="1" applyFont="1" applyFill="1" applyBorder="1"/>
    <xf numFmtId="166" fontId="6" fillId="17" borderId="0" xfId="0" applyNumberFormat="1" applyFont="1" applyFill="1"/>
    <xf numFmtId="166" fontId="6" fillId="0" borderId="0" xfId="0" applyNumberFormat="1" applyFont="1"/>
    <xf numFmtId="166" fontId="6" fillId="8" borderId="0" xfId="0" applyNumberFormat="1" applyFont="1" applyFill="1"/>
    <xf numFmtId="166" fontId="6" fillId="8" borderId="12" xfId="0" applyNumberFormat="1" applyFont="1" applyFill="1" applyBorder="1"/>
    <xf numFmtId="166" fontId="6" fillId="18" borderId="11" xfId="0" applyNumberFormat="1" applyFont="1" applyFill="1" applyBorder="1"/>
    <xf numFmtId="166" fontId="6" fillId="19" borderId="0" xfId="0" applyNumberFormat="1" applyFont="1" applyFill="1"/>
    <xf numFmtId="166" fontId="6" fillId="20" borderId="0" xfId="0" applyNumberFormat="1" applyFont="1" applyFill="1"/>
    <xf numFmtId="166" fontId="6" fillId="21" borderId="0" xfId="0" applyNumberFormat="1" applyFont="1" applyFill="1"/>
    <xf numFmtId="166" fontId="6" fillId="22" borderId="0" xfId="0" applyNumberFormat="1" applyFont="1" applyFill="1"/>
    <xf numFmtId="166" fontId="6" fillId="23" borderId="12" xfId="0" applyNumberFormat="1" applyFont="1" applyFill="1" applyBorder="1"/>
    <xf numFmtId="166" fontId="6" fillId="11" borderId="11" xfId="0" applyNumberFormat="1" applyFont="1" applyFill="1" applyBorder="1"/>
    <xf numFmtId="166" fontId="6" fillId="5" borderId="0" xfId="0" applyNumberFormat="1" applyFont="1" applyFill="1"/>
    <xf numFmtId="166" fontId="6" fillId="24" borderId="0" xfId="0" applyNumberFormat="1" applyFont="1" applyFill="1"/>
    <xf numFmtId="166" fontId="6" fillId="25" borderId="0" xfId="0" applyNumberFormat="1" applyFont="1" applyFill="1"/>
    <xf numFmtId="166" fontId="6" fillId="26" borderId="0" xfId="0" applyNumberFormat="1" applyFont="1" applyFill="1"/>
    <xf numFmtId="166" fontId="6" fillId="27" borderId="0" xfId="0" applyNumberFormat="1" applyFont="1" applyFill="1"/>
    <xf numFmtId="166" fontId="6" fillId="28" borderId="12" xfId="0" applyNumberFormat="1" applyFont="1" applyFill="1" applyBorder="1"/>
    <xf numFmtId="166" fontId="6" fillId="29" borderId="0" xfId="0" applyNumberFormat="1" applyFont="1" applyFill="1"/>
    <xf numFmtId="166" fontId="6" fillId="30" borderId="0" xfId="0" applyNumberFormat="1" applyFont="1" applyFill="1"/>
    <xf numFmtId="166" fontId="6" fillId="31" borderId="12" xfId="0" applyNumberFormat="1" applyFont="1" applyFill="1" applyBorder="1"/>
    <xf numFmtId="166" fontId="6" fillId="15" borderId="11" xfId="0" applyNumberFormat="1" applyFont="1" applyFill="1" applyBorder="1"/>
    <xf numFmtId="166" fontId="6" fillId="32" borderId="0" xfId="0" applyNumberFormat="1" applyFont="1" applyFill="1"/>
    <xf numFmtId="166" fontId="6" fillId="28" borderId="0" xfId="0" applyNumberFormat="1" applyFont="1" applyFill="1"/>
    <xf numFmtId="166" fontId="6" fillId="33" borderId="0" xfId="0" applyNumberFormat="1" applyFont="1" applyFill="1"/>
    <xf numFmtId="166" fontId="6" fillId="34" borderId="11" xfId="0" applyNumberFormat="1" applyFont="1" applyFill="1" applyBorder="1"/>
    <xf numFmtId="166" fontId="6" fillId="35" borderId="0" xfId="0" applyNumberFormat="1" applyFont="1" applyFill="1"/>
    <xf numFmtId="166" fontId="6" fillId="36" borderId="0" xfId="0" applyNumberFormat="1" applyFont="1" applyFill="1"/>
    <xf numFmtId="166" fontId="6" fillId="0" borderId="12" xfId="0" applyNumberFormat="1" applyFont="1" applyBorder="1"/>
    <xf numFmtId="166" fontId="6" fillId="37" borderId="11" xfId="0" applyNumberFormat="1" applyFont="1" applyFill="1" applyBorder="1"/>
    <xf numFmtId="166" fontId="6" fillId="38" borderId="0" xfId="0" applyNumberFormat="1" applyFont="1" applyFill="1"/>
    <xf numFmtId="166" fontId="6" fillId="39" borderId="0" xfId="0" applyNumberFormat="1" applyFont="1" applyFill="1"/>
    <xf numFmtId="166" fontId="6" fillId="23" borderId="0" xfId="0" applyNumberFormat="1" applyFont="1" applyFill="1"/>
    <xf numFmtId="166" fontId="6" fillId="40" borderId="11" xfId="0" applyNumberFormat="1" applyFont="1" applyFill="1" applyBorder="1"/>
    <xf numFmtId="166" fontId="6" fillId="41" borderId="0" xfId="0" applyNumberFormat="1" applyFont="1" applyFill="1"/>
    <xf numFmtId="166" fontId="6" fillId="42" borderId="0" xfId="0" applyNumberFormat="1" applyFont="1" applyFill="1"/>
    <xf numFmtId="166" fontId="6" fillId="7" borderId="13" xfId="0" applyNumberFormat="1" applyFont="1" applyFill="1" applyBorder="1"/>
    <xf numFmtId="166" fontId="6" fillId="43" borderId="14" xfId="0" applyNumberFormat="1" applyFont="1" applyFill="1" applyBorder="1"/>
    <xf numFmtId="166" fontId="6" fillId="44" borderId="14" xfId="0" applyNumberFormat="1" applyFont="1" applyFill="1" applyBorder="1"/>
    <xf numFmtId="166" fontId="6" fillId="0" borderId="14" xfId="0" applyNumberFormat="1" applyFont="1" applyBorder="1"/>
    <xf numFmtId="166" fontId="6" fillId="30" borderId="14" xfId="0" applyNumberFormat="1" applyFont="1" applyFill="1" applyBorder="1"/>
    <xf numFmtId="166" fontId="6" fillId="30" borderId="15" xfId="0" applyNumberFormat="1" applyFont="1" applyFill="1" applyBorder="1"/>
    <xf numFmtId="166" fontId="6" fillId="8" borderId="14" xfId="0" applyNumberFormat="1" applyFont="1" applyFill="1" applyBorder="1"/>
    <xf numFmtId="166" fontId="6" fillId="21" borderId="14" xfId="0" applyNumberFormat="1" applyFont="1" applyFill="1" applyBorder="1"/>
    <xf numFmtId="166" fontId="6" fillId="45" borderId="14" xfId="0" applyNumberFormat="1" applyFont="1" applyFill="1" applyBorder="1"/>
    <xf numFmtId="166" fontId="6" fillId="46" borderId="14" xfId="0" applyNumberFormat="1" applyFont="1" applyFill="1" applyBorder="1"/>
    <xf numFmtId="166" fontId="6" fillId="17" borderId="8" xfId="0" applyNumberFormat="1" applyFont="1" applyFill="1" applyBorder="1"/>
    <xf numFmtId="166" fontId="6" fillId="47" borderId="9" xfId="0" applyNumberFormat="1" applyFont="1" applyFill="1" applyBorder="1"/>
    <xf numFmtId="166" fontId="6" fillId="48" borderId="9" xfId="0" applyNumberFormat="1" applyFont="1" applyFill="1" applyBorder="1"/>
    <xf numFmtId="166" fontId="6" fillId="7" borderId="10" xfId="0" applyNumberFormat="1" applyFont="1" applyFill="1" applyBorder="1"/>
    <xf numFmtId="166" fontId="6" fillId="49" borderId="8" xfId="0" applyNumberFormat="1" applyFont="1" applyFill="1" applyBorder="1"/>
    <xf numFmtId="166" fontId="6" fillId="50" borderId="9" xfId="0" applyNumberFormat="1" applyFont="1" applyFill="1" applyBorder="1"/>
    <xf numFmtId="166" fontId="6" fillId="18" borderId="9" xfId="0" applyNumberFormat="1" applyFont="1" applyFill="1" applyBorder="1"/>
    <xf numFmtId="166" fontId="6" fillId="51" borderId="9" xfId="0" applyNumberFormat="1" applyFont="1" applyFill="1" applyBorder="1"/>
    <xf numFmtId="166" fontId="6" fillId="15" borderId="9" xfId="0" applyNumberFormat="1" applyFont="1" applyFill="1" applyBorder="1"/>
    <xf numFmtId="166" fontId="6" fillId="52" borderId="11" xfId="0" applyNumberFormat="1" applyFont="1" applyFill="1" applyBorder="1"/>
    <xf numFmtId="166" fontId="6" fillId="53" borderId="0" xfId="0" applyNumberFormat="1" applyFont="1" applyFill="1"/>
    <xf numFmtId="166" fontId="6" fillId="54" borderId="11" xfId="0" applyNumberFormat="1" applyFont="1" applyFill="1" applyBorder="1"/>
    <xf numFmtId="166" fontId="6" fillId="49" borderId="0" xfId="0" applyNumberFormat="1" applyFont="1" applyFill="1"/>
    <xf numFmtId="166" fontId="6" fillId="50" borderId="0" xfId="0" applyNumberFormat="1" applyFont="1" applyFill="1"/>
    <xf numFmtId="166" fontId="6" fillId="55" borderId="0" xfId="0" applyNumberFormat="1" applyFont="1" applyFill="1"/>
    <xf numFmtId="166" fontId="6" fillId="56" borderId="0" xfId="0" applyNumberFormat="1" applyFont="1" applyFill="1"/>
    <xf numFmtId="166" fontId="6" fillId="57" borderId="0" xfId="0" applyNumberFormat="1" applyFont="1" applyFill="1"/>
    <xf numFmtId="166" fontId="6" fillId="21" borderId="12" xfId="0" applyNumberFormat="1" applyFont="1" applyFill="1" applyBorder="1"/>
    <xf numFmtId="166" fontId="6" fillId="5" borderId="11" xfId="0" applyNumberFormat="1" applyFont="1" applyFill="1" applyBorder="1"/>
    <xf numFmtId="166" fontId="6" fillId="58" borderId="0" xfId="0" applyNumberFormat="1" applyFont="1" applyFill="1"/>
    <xf numFmtId="166" fontId="6" fillId="59" borderId="0" xfId="0" applyNumberFormat="1" applyFont="1" applyFill="1"/>
    <xf numFmtId="166" fontId="6" fillId="60" borderId="0" xfId="0" applyNumberFormat="1" applyFont="1" applyFill="1"/>
    <xf numFmtId="166" fontId="6" fillId="61" borderId="12" xfId="0" applyNumberFormat="1" applyFont="1" applyFill="1" applyBorder="1"/>
    <xf numFmtId="166" fontId="6" fillId="62" borderId="0" xfId="0" applyNumberFormat="1" applyFont="1" applyFill="1"/>
    <xf numFmtId="166" fontId="6" fillId="63" borderId="0" xfId="0" applyNumberFormat="1" applyFont="1" applyFill="1"/>
    <xf numFmtId="166" fontId="6" fillId="64" borderId="0" xfId="0" applyNumberFormat="1" applyFont="1" applyFill="1"/>
    <xf numFmtId="166" fontId="6" fillId="65" borderId="12" xfId="0" applyNumberFormat="1" applyFont="1" applyFill="1" applyBorder="1"/>
    <xf numFmtId="166" fontId="6" fillId="66" borderId="0" xfId="0" applyNumberFormat="1" applyFont="1" applyFill="1"/>
    <xf numFmtId="166" fontId="6" fillId="67" borderId="12" xfId="0" applyNumberFormat="1" applyFont="1" applyFill="1" applyBorder="1"/>
    <xf numFmtId="166" fontId="6" fillId="68" borderId="11" xfId="0" applyNumberFormat="1" applyFont="1" applyFill="1" applyBorder="1"/>
    <xf numFmtId="166" fontId="6" fillId="69" borderId="0" xfId="0" applyNumberFormat="1" applyFont="1" applyFill="1"/>
    <xf numFmtId="166" fontId="6" fillId="70" borderId="11" xfId="0" applyNumberFormat="1" applyFont="1" applyFill="1" applyBorder="1"/>
    <xf numFmtId="166" fontId="6" fillId="71" borderId="0" xfId="0" applyNumberFormat="1" applyFont="1" applyFill="1"/>
    <xf numFmtId="166" fontId="6" fillId="72" borderId="0" xfId="0" applyNumberFormat="1" applyFont="1" applyFill="1"/>
    <xf numFmtId="166" fontId="6" fillId="73" borderId="0" xfId="0" applyNumberFormat="1" applyFont="1" applyFill="1"/>
    <xf numFmtId="166" fontId="6" fillId="30" borderId="12" xfId="0" applyNumberFormat="1" applyFont="1" applyFill="1" applyBorder="1"/>
    <xf numFmtId="166" fontId="6" fillId="74" borderId="11" xfId="0" applyNumberFormat="1" applyFont="1" applyFill="1" applyBorder="1"/>
    <xf numFmtId="166" fontId="6" fillId="75" borderId="0" xfId="0" applyNumberFormat="1" applyFont="1" applyFill="1"/>
    <xf numFmtId="166" fontId="6" fillId="76" borderId="0" xfId="0" applyNumberFormat="1" applyFont="1" applyFill="1"/>
    <xf numFmtId="166" fontId="6" fillId="61" borderId="0" xfId="0" applyNumberFormat="1" applyFont="1" applyFill="1"/>
    <xf numFmtId="166" fontId="6" fillId="15" borderId="14" xfId="0" applyNumberFormat="1" applyFont="1" applyFill="1" applyBorder="1"/>
    <xf numFmtId="166" fontId="6" fillId="62" borderId="14" xfId="0" applyNumberFormat="1" applyFont="1" applyFill="1" applyBorder="1"/>
    <xf numFmtId="166" fontId="6" fillId="0" borderId="15" xfId="0" applyNumberFormat="1" applyFont="1" applyBorder="1"/>
    <xf numFmtId="166" fontId="6" fillId="77" borderId="14" xfId="0" applyNumberFormat="1" applyFont="1" applyFill="1" applyBorder="1"/>
    <xf numFmtId="166" fontId="6" fillId="78" borderId="14" xfId="0" applyNumberFormat="1" applyFont="1" applyFill="1" applyBorder="1"/>
    <xf numFmtId="166" fontId="6" fillId="73" borderId="14" xfId="0" applyNumberFormat="1" applyFont="1" applyFill="1" applyBorder="1"/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2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169" fontId="3" fillId="0" borderId="8" xfId="0" applyNumberFormat="1" applyFont="1" applyBorder="1"/>
    <xf numFmtId="169" fontId="3" fillId="0" borderId="9" xfId="0" applyNumberFormat="1" applyFont="1" applyBorder="1"/>
    <xf numFmtId="169" fontId="3" fillId="0" borderId="10" xfId="0" applyNumberFormat="1" applyFont="1" applyBorder="1"/>
    <xf numFmtId="169" fontId="3" fillId="0" borderId="11" xfId="0" applyNumberFormat="1" applyFont="1" applyBorder="1"/>
    <xf numFmtId="169" fontId="3" fillId="0" borderId="0" xfId="0" applyNumberFormat="1" applyFont="1" applyBorder="1"/>
    <xf numFmtId="169" fontId="3" fillId="0" borderId="12" xfId="0" applyNumberFormat="1" applyFont="1" applyBorder="1"/>
    <xf numFmtId="169" fontId="3" fillId="0" borderId="13" xfId="0" applyNumberFormat="1" applyFont="1" applyBorder="1"/>
    <xf numFmtId="169" fontId="3" fillId="0" borderId="14" xfId="0" applyNumberFormat="1" applyFont="1" applyBorder="1"/>
    <xf numFmtId="169" fontId="3" fillId="0" borderId="15" xfId="0" applyNumberFormat="1" applyFont="1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44</xdr:row>
      <xdr:rowOff>139700</xdr:rowOff>
    </xdr:from>
    <xdr:to>
      <xdr:col>3</xdr:col>
      <xdr:colOff>381000</xdr:colOff>
      <xdr:row>47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440AB96-ECA6-C945-85B2-6BDC21E482D1}"/>
            </a:ext>
          </a:extLst>
        </xdr:cNvPr>
        <xdr:cNvSpPr txBox="1"/>
      </xdr:nvSpPr>
      <xdr:spPr>
        <a:xfrm>
          <a:off x="254000" y="9080500"/>
          <a:ext cx="1587500" cy="622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Reinforcement</a:t>
          </a:r>
          <a:endParaRPr lang="en-GB" sz="1600" b="1" baseline="0"/>
        </a:p>
        <a:p>
          <a:pPr algn="ctr"/>
          <a:r>
            <a:rPr lang="en-GB" sz="1600" b="1" baseline="0"/>
            <a:t>Price Up</a:t>
          </a:r>
          <a:endParaRPr lang="en-GB" sz="1600" b="1"/>
        </a:p>
      </xdr:txBody>
    </xdr:sp>
    <xdr:clientData/>
  </xdr:twoCellAnchor>
  <xdr:twoCellAnchor>
    <xdr:from>
      <xdr:col>1</xdr:col>
      <xdr:colOff>101600</xdr:colOff>
      <xdr:row>51</xdr:row>
      <xdr:rowOff>101600</xdr:rowOff>
    </xdr:from>
    <xdr:to>
      <xdr:col>3</xdr:col>
      <xdr:colOff>444500</xdr:colOff>
      <xdr:row>54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D3441CC-FE76-E546-9E90-FC6696B7B61E}"/>
            </a:ext>
          </a:extLst>
        </xdr:cNvPr>
        <xdr:cNvSpPr txBox="1"/>
      </xdr:nvSpPr>
      <xdr:spPr>
        <a:xfrm>
          <a:off x="317500" y="10464800"/>
          <a:ext cx="1587500" cy="622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Reversion</a:t>
          </a:r>
          <a:endParaRPr lang="en-GB" sz="1600" b="1" baseline="0"/>
        </a:p>
        <a:p>
          <a:pPr algn="ctr"/>
          <a:r>
            <a:rPr lang="en-GB" sz="1600" b="1" baseline="0"/>
            <a:t>Price Down</a:t>
          </a:r>
          <a:endParaRPr lang="en-GB" sz="1600" b="1"/>
        </a:p>
      </xdr:txBody>
    </xdr:sp>
    <xdr:clientData/>
  </xdr:twoCellAnchor>
  <xdr:twoCellAnchor>
    <xdr:from>
      <xdr:col>19</xdr:col>
      <xdr:colOff>165100</xdr:colOff>
      <xdr:row>44</xdr:row>
      <xdr:rowOff>139700</xdr:rowOff>
    </xdr:from>
    <xdr:to>
      <xdr:col>21</xdr:col>
      <xdr:colOff>952500</xdr:colOff>
      <xdr:row>47</xdr:row>
      <xdr:rowOff>152400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D903BF-FC61-6142-AB72-A31BB23AA8B3}"/>
            </a:ext>
          </a:extLst>
        </xdr:cNvPr>
        <xdr:cNvSpPr txBox="1"/>
      </xdr:nvSpPr>
      <xdr:spPr>
        <a:xfrm>
          <a:off x="10871200" y="9080500"/>
          <a:ext cx="1587500" cy="622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Reversion</a:t>
          </a:r>
          <a:endParaRPr lang="en-GB" sz="1600" b="1" baseline="0"/>
        </a:p>
        <a:p>
          <a:pPr algn="ctr"/>
          <a:r>
            <a:rPr lang="en-GB" sz="1600" b="1" baseline="0"/>
            <a:t>Price Up</a:t>
          </a:r>
          <a:endParaRPr lang="en-GB" sz="1600" b="1"/>
        </a:p>
      </xdr:txBody>
    </xdr:sp>
    <xdr:clientData/>
  </xdr:twoCellAnchor>
  <xdr:twoCellAnchor>
    <xdr:from>
      <xdr:col>20</xdr:col>
      <xdr:colOff>0</xdr:colOff>
      <xdr:row>52</xdr:row>
      <xdr:rowOff>0</xdr:rowOff>
    </xdr:from>
    <xdr:to>
      <xdr:col>21</xdr:col>
      <xdr:colOff>965200</xdr:colOff>
      <xdr:row>55</xdr:row>
      <xdr:rowOff>12700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9CC3C84-0077-9441-81B1-EAE74341B378}"/>
            </a:ext>
          </a:extLst>
        </xdr:cNvPr>
        <xdr:cNvSpPr txBox="1"/>
      </xdr:nvSpPr>
      <xdr:spPr>
        <a:xfrm>
          <a:off x="10883900" y="10566400"/>
          <a:ext cx="1587500" cy="622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Reinforcement</a:t>
          </a:r>
          <a:endParaRPr lang="en-GB" sz="1600" b="1" baseline="0"/>
        </a:p>
        <a:p>
          <a:pPr algn="ctr"/>
          <a:r>
            <a:rPr lang="en-GB" sz="1600" b="1" baseline="0"/>
            <a:t>Price Down</a:t>
          </a:r>
          <a:endParaRPr lang="en-GB" sz="1600" b="1"/>
        </a:p>
      </xdr:txBody>
    </xdr:sp>
    <xdr:clientData/>
  </xdr:twoCellAnchor>
  <xdr:twoCellAnchor>
    <xdr:from>
      <xdr:col>10</xdr:col>
      <xdr:colOff>304800</xdr:colOff>
      <xdr:row>3</xdr:row>
      <xdr:rowOff>50800</xdr:rowOff>
    </xdr:from>
    <xdr:to>
      <xdr:col>13</xdr:col>
      <xdr:colOff>139700</xdr:colOff>
      <xdr:row>4</xdr:row>
      <xdr:rowOff>165100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DC08B3D-65CB-2C40-83C3-11B4A6C3BBD7}"/>
            </a:ext>
          </a:extLst>
        </xdr:cNvPr>
        <xdr:cNvSpPr txBox="1"/>
      </xdr:nvSpPr>
      <xdr:spPr>
        <a:xfrm>
          <a:off x="5753100" y="660400"/>
          <a:ext cx="1587500" cy="31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Previous</a:t>
          </a:r>
          <a:r>
            <a:rPr lang="en-GB" sz="1600" b="1" baseline="0"/>
            <a:t> Event</a:t>
          </a:r>
          <a:endParaRPr lang="en-GB" sz="1600" b="1"/>
        </a:p>
      </xdr:txBody>
    </xdr:sp>
    <xdr:clientData/>
  </xdr:twoCellAnchor>
  <xdr:twoCellAnchor>
    <xdr:from>
      <xdr:col>3</xdr:col>
      <xdr:colOff>76200</xdr:colOff>
      <xdr:row>9</xdr:row>
      <xdr:rowOff>177800</xdr:rowOff>
    </xdr:from>
    <xdr:to>
      <xdr:col>3</xdr:col>
      <xdr:colOff>482600</xdr:colOff>
      <xdr:row>15</xdr:row>
      <xdr:rowOff>190500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D0FC621-DEAF-B641-82EE-830474D147CE}"/>
            </a:ext>
          </a:extLst>
        </xdr:cNvPr>
        <xdr:cNvSpPr txBox="1"/>
      </xdr:nvSpPr>
      <xdr:spPr>
        <a:xfrm>
          <a:off x="1536700" y="2006600"/>
          <a:ext cx="406400" cy="1231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en-GB" sz="1600" b="1"/>
            <a:t>Next</a:t>
          </a:r>
          <a:r>
            <a:rPr lang="en-GB" sz="1600" b="1" baseline="0"/>
            <a:t> Event</a:t>
          </a:r>
          <a:endParaRPr lang="en-GB" sz="16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44</xdr:row>
      <xdr:rowOff>139700</xdr:rowOff>
    </xdr:from>
    <xdr:to>
      <xdr:col>3</xdr:col>
      <xdr:colOff>381000</xdr:colOff>
      <xdr:row>47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BBE0E0A-D5B0-804B-A4AB-9E53BE26A1F2}"/>
            </a:ext>
          </a:extLst>
        </xdr:cNvPr>
        <xdr:cNvSpPr txBox="1"/>
      </xdr:nvSpPr>
      <xdr:spPr>
        <a:xfrm>
          <a:off x="254000" y="9080500"/>
          <a:ext cx="1587500" cy="622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Reinforcement</a:t>
          </a:r>
          <a:endParaRPr lang="en-GB" sz="1600" b="1" baseline="0"/>
        </a:p>
        <a:p>
          <a:pPr algn="ctr"/>
          <a:r>
            <a:rPr lang="en-GB" sz="1600" b="1" baseline="0"/>
            <a:t>Price Up</a:t>
          </a:r>
          <a:endParaRPr lang="en-GB" sz="1600" b="1"/>
        </a:p>
      </xdr:txBody>
    </xdr:sp>
    <xdr:clientData/>
  </xdr:twoCellAnchor>
  <xdr:twoCellAnchor>
    <xdr:from>
      <xdr:col>1</xdr:col>
      <xdr:colOff>101600</xdr:colOff>
      <xdr:row>51</xdr:row>
      <xdr:rowOff>101600</xdr:rowOff>
    </xdr:from>
    <xdr:to>
      <xdr:col>3</xdr:col>
      <xdr:colOff>444500</xdr:colOff>
      <xdr:row>54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C457ABC-967D-E140-962A-952BEA74578A}"/>
            </a:ext>
          </a:extLst>
        </xdr:cNvPr>
        <xdr:cNvSpPr txBox="1"/>
      </xdr:nvSpPr>
      <xdr:spPr>
        <a:xfrm>
          <a:off x="317500" y="10464800"/>
          <a:ext cx="1587500" cy="622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Reversion</a:t>
          </a:r>
          <a:endParaRPr lang="en-GB" sz="1600" b="1" baseline="0"/>
        </a:p>
        <a:p>
          <a:pPr algn="ctr"/>
          <a:r>
            <a:rPr lang="en-GB" sz="1600" b="1" baseline="0"/>
            <a:t>Price Down</a:t>
          </a:r>
          <a:endParaRPr lang="en-GB" sz="1600" b="1"/>
        </a:p>
      </xdr:txBody>
    </xdr:sp>
    <xdr:clientData/>
  </xdr:twoCellAnchor>
  <xdr:twoCellAnchor>
    <xdr:from>
      <xdr:col>19</xdr:col>
      <xdr:colOff>165100</xdr:colOff>
      <xdr:row>44</xdr:row>
      <xdr:rowOff>139700</xdr:rowOff>
    </xdr:from>
    <xdr:to>
      <xdr:col>21</xdr:col>
      <xdr:colOff>952500</xdr:colOff>
      <xdr:row>47</xdr:row>
      <xdr:rowOff>152400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1F24CAC-848C-7C42-BE7C-A3FD06644252}"/>
            </a:ext>
          </a:extLst>
        </xdr:cNvPr>
        <xdr:cNvSpPr txBox="1"/>
      </xdr:nvSpPr>
      <xdr:spPr>
        <a:xfrm>
          <a:off x="10871200" y="9080500"/>
          <a:ext cx="1587500" cy="622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Reversion</a:t>
          </a:r>
          <a:endParaRPr lang="en-GB" sz="1600" b="1" baseline="0"/>
        </a:p>
        <a:p>
          <a:pPr algn="ctr"/>
          <a:r>
            <a:rPr lang="en-GB" sz="1600" b="1" baseline="0"/>
            <a:t>Price Up</a:t>
          </a:r>
          <a:endParaRPr lang="en-GB" sz="1600" b="1"/>
        </a:p>
      </xdr:txBody>
    </xdr:sp>
    <xdr:clientData/>
  </xdr:twoCellAnchor>
  <xdr:twoCellAnchor>
    <xdr:from>
      <xdr:col>20</xdr:col>
      <xdr:colOff>0</xdr:colOff>
      <xdr:row>52</xdr:row>
      <xdr:rowOff>0</xdr:rowOff>
    </xdr:from>
    <xdr:to>
      <xdr:col>21</xdr:col>
      <xdr:colOff>965200</xdr:colOff>
      <xdr:row>55</xdr:row>
      <xdr:rowOff>12700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E2EBB9-5E1E-9749-84A1-9135D7D57DD1}"/>
            </a:ext>
          </a:extLst>
        </xdr:cNvPr>
        <xdr:cNvSpPr txBox="1"/>
      </xdr:nvSpPr>
      <xdr:spPr>
        <a:xfrm>
          <a:off x="10883900" y="10566400"/>
          <a:ext cx="1587500" cy="622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Reinforcement</a:t>
          </a:r>
          <a:endParaRPr lang="en-GB" sz="1600" b="1" baseline="0"/>
        </a:p>
        <a:p>
          <a:pPr algn="ctr"/>
          <a:r>
            <a:rPr lang="en-GB" sz="1600" b="1" baseline="0"/>
            <a:t>Price Down</a:t>
          </a:r>
          <a:endParaRPr lang="en-GB" sz="1600" b="1"/>
        </a:p>
      </xdr:txBody>
    </xdr:sp>
    <xdr:clientData/>
  </xdr:twoCellAnchor>
  <xdr:twoCellAnchor>
    <xdr:from>
      <xdr:col>10</xdr:col>
      <xdr:colOff>304800</xdr:colOff>
      <xdr:row>3</xdr:row>
      <xdr:rowOff>50800</xdr:rowOff>
    </xdr:from>
    <xdr:to>
      <xdr:col>13</xdr:col>
      <xdr:colOff>139700</xdr:colOff>
      <xdr:row>4</xdr:row>
      <xdr:rowOff>165100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EDDCACF-E282-464A-9F1D-E3275B3477E6}"/>
            </a:ext>
          </a:extLst>
        </xdr:cNvPr>
        <xdr:cNvSpPr txBox="1"/>
      </xdr:nvSpPr>
      <xdr:spPr>
        <a:xfrm>
          <a:off x="5753100" y="660400"/>
          <a:ext cx="1587500" cy="31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Previous</a:t>
          </a:r>
          <a:r>
            <a:rPr lang="en-GB" sz="1600" b="1" baseline="0"/>
            <a:t> Event</a:t>
          </a:r>
          <a:endParaRPr lang="en-GB" sz="1600" b="1"/>
        </a:p>
      </xdr:txBody>
    </xdr:sp>
    <xdr:clientData/>
  </xdr:twoCellAnchor>
  <xdr:twoCellAnchor>
    <xdr:from>
      <xdr:col>3</xdr:col>
      <xdr:colOff>76200</xdr:colOff>
      <xdr:row>9</xdr:row>
      <xdr:rowOff>177800</xdr:rowOff>
    </xdr:from>
    <xdr:to>
      <xdr:col>3</xdr:col>
      <xdr:colOff>482600</xdr:colOff>
      <xdr:row>15</xdr:row>
      <xdr:rowOff>190500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57AFCA6-3B67-8742-8E45-F26C2097CF47}"/>
            </a:ext>
          </a:extLst>
        </xdr:cNvPr>
        <xdr:cNvSpPr txBox="1"/>
      </xdr:nvSpPr>
      <xdr:spPr>
        <a:xfrm>
          <a:off x="1536700" y="2006600"/>
          <a:ext cx="406400" cy="1231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en-GB" sz="1600" b="1"/>
            <a:t>Next</a:t>
          </a:r>
          <a:r>
            <a:rPr lang="en-GB" sz="1600" b="1" baseline="0"/>
            <a:t> Event</a:t>
          </a:r>
          <a:endParaRPr lang="en-GB" sz="16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44</xdr:row>
      <xdr:rowOff>139700</xdr:rowOff>
    </xdr:from>
    <xdr:to>
      <xdr:col>3</xdr:col>
      <xdr:colOff>381000</xdr:colOff>
      <xdr:row>47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DE82C-85C7-9B41-A469-7797E41031E8}"/>
            </a:ext>
          </a:extLst>
        </xdr:cNvPr>
        <xdr:cNvSpPr txBox="1"/>
      </xdr:nvSpPr>
      <xdr:spPr>
        <a:xfrm>
          <a:off x="254000" y="9080500"/>
          <a:ext cx="1587500" cy="622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Reinforcement</a:t>
          </a:r>
          <a:endParaRPr lang="en-GB" sz="1600" b="1" baseline="0"/>
        </a:p>
        <a:p>
          <a:pPr algn="ctr"/>
          <a:r>
            <a:rPr lang="en-GB" sz="1600" b="1" baseline="0"/>
            <a:t>Price Up</a:t>
          </a:r>
          <a:endParaRPr lang="en-GB" sz="1600" b="1"/>
        </a:p>
      </xdr:txBody>
    </xdr:sp>
    <xdr:clientData/>
  </xdr:twoCellAnchor>
  <xdr:twoCellAnchor>
    <xdr:from>
      <xdr:col>1</xdr:col>
      <xdr:colOff>101600</xdr:colOff>
      <xdr:row>51</xdr:row>
      <xdr:rowOff>101600</xdr:rowOff>
    </xdr:from>
    <xdr:to>
      <xdr:col>3</xdr:col>
      <xdr:colOff>444500</xdr:colOff>
      <xdr:row>54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A8B7694-3164-8C46-845E-36DD7AA568B6}"/>
            </a:ext>
          </a:extLst>
        </xdr:cNvPr>
        <xdr:cNvSpPr txBox="1"/>
      </xdr:nvSpPr>
      <xdr:spPr>
        <a:xfrm>
          <a:off x="317500" y="10464800"/>
          <a:ext cx="1587500" cy="622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Reversion</a:t>
          </a:r>
          <a:endParaRPr lang="en-GB" sz="1600" b="1" baseline="0"/>
        </a:p>
        <a:p>
          <a:pPr algn="ctr"/>
          <a:r>
            <a:rPr lang="en-GB" sz="1600" b="1" baseline="0"/>
            <a:t>Price Down</a:t>
          </a:r>
          <a:endParaRPr lang="en-GB" sz="1600" b="1"/>
        </a:p>
      </xdr:txBody>
    </xdr:sp>
    <xdr:clientData/>
  </xdr:twoCellAnchor>
  <xdr:twoCellAnchor>
    <xdr:from>
      <xdr:col>19</xdr:col>
      <xdr:colOff>165100</xdr:colOff>
      <xdr:row>44</xdr:row>
      <xdr:rowOff>139700</xdr:rowOff>
    </xdr:from>
    <xdr:to>
      <xdr:col>21</xdr:col>
      <xdr:colOff>952500</xdr:colOff>
      <xdr:row>47</xdr:row>
      <xdr:rowOff>152400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A2C6AE9-8CC8-BA4F-ACA7-972F516832A4}"/>
            </a:ext>
          </a:extLst>
        </xdr:cNvPr>
        <xdr:cNvSpPr txBox="1"/>
      </xdr:nvSpPr>
      <xdr:spPr>
        <a:xfrm>
          <a:off x="10871200" y="9080500"/>
          <a:ext cx="1587500" cy="622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Reversion</a:t>
          </a:r>
          <a:endParaRPr lang="en-GB" sz="1600" b="1" baseline="0"/>
        </a:p>
        <a:p>
          <a:pPr algn="ctr"/>
          <a:r>
            <a:rPr lang="en-GB" sz="1600" b="1" baseline="0"/>
            <a:t>Price Up</a:t>
          </a:r>
          <a:endParaRPr lang="en-GB" sz="1600" b="1"/>
        </a:p>
      </xdr:txBody>
    </xdr:sp>
    <xdr:clientData/>
  </xdr:twoCellAnchor>
  <xdr:twoCellAnchor>
    <xdr:from>
      <xdr:col>20</xdr:col>
      <xdr:colOff>0</xdr:colOff>
      <xdr:row>52</xdr:row>
      <xdr:rowOff>0</xdr:rowOff>
    </xdr:from>
    <xdr:to>
      <xdr:col>21</xdr:col>
      <xdr:colOff>965200</xdr:colOff>
      <xdr:row>55</xdr:row>
      <xdr:rowOff>12700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962322E-A755-6F42-80A8-C1D1D29A9FA5}"/>
            </a:ext>
          </a:extLst>
        </xdr:cNvPr>
        <xdr:cNvSpPr txBox="1"/>
      </xdr:nvSpPr>
      <xdr:spPr>
        <a:xfrm>
          <a:off x="10883900" y="10566400"/>
          <a:ext cx="1587500" cy="622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Reinforcement</a:t>
          </a:r>
          <a:endParaRPr lang="en-GB" sz="1600" b="1" baseline="0"/>
        </a:p>
        <a:p>
          <a:pPr algn="ctr"/>
          <a:r>
            <a:rPr lang="en-GB" sz="1600" b="1" baseline="0"/>
            <a:t>Price Down</a:t>
          </a:r>
          <a:endParaRPr lang="en-GB" sz="1600" b="1"/>
        </a:p>
      </xdr:txBody>
    </xdr:sp>
    <xdr:clientData/>
  </xdr:twoCellAnchor>
  <xdr:twoCellAnchor>
    <xdr:from>
      <xdr:col>10</xdr:col>
      <xdr:colOff>304800</xdr:colOff>
      <xdr:row>3</xdr:row>
      <xdr:rowOff>50800</xdr:rowOff>
    </xdr:from>
    <xdr:to>
      <xdr:col>13</xdr:col>
      <xdr:colOff>139700</xdr:colOff>
      <xdr:row>4</xdr:row>
      <xdr:rowOff>165100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40A3176-41A7-C34C-AE5B-1AE43EFAB984}"/>
            </a:ext>
          </a:extLst>
        </xdr:cNvPr>
        <xdr:cNvSpPr txBox="1"/>
      </xdr:nvSpPr>
      <xdr:spPr>
        <a:xfrm>
          <a:off x="5753100" y="660400"/>
          <a:ext cx="1587500" cy="31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Previous</a:t>
          </a:r>
          <a:r>
            <a:rPr lang="en-GB" sz="1600" b="1" baseline="0"/>
            <a:t> Event</a:t>
          </a:r>
          <a:endParaRPr lang="en-GB" sz="1600" b="1"/>
        </a:p>
      </xdr:txBody>
    </xdr:sp>
    <xdr:clientData/>
  </xdr:twoCellAnchor>
  <xdr:twoCellAnchor>
    <xdr:from>
      <xdr:col>3</xdr:col>
      <xdr:colOff>76200</xdr:colOff>
      <xdr:row>9</xdr:row>
      <xdr:rowOff>177800</xdr:rowOff>
    </xdr:from>
    <xdr:to>
      <xdr:col>3</xdr:col>
      <xdr:colOff>482600</xdr:colOff>
      <xdr:row>15</xdr:row>
      <xdr:rowOff>190500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8DECF73-AD60-6845-9452-C796F4AF5272}"/>
            </a:ext>
          </a:extLst>
        </xdr:cNvPr>
        <xdr:cNvSpPr txBox="1"/>
      </xdr:nvSpPr>
      <xdr:spPr>
        <a:xfrm>
          <a:off x="1536700" y="2006600"/>
          <a:ext cx="406400" cy="1231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en-GB" sz="1600" b="1"/>
            <a:t>Next</a:t>
          </a:r>
          <a:r>
            <a:rPr lang="en-GB" sz="1600" b="1" baseline="0"/>
            <a:t> Event</a:t>
          </a:r>
          <a:endParaRPr lang="en-GB" sz="16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642A1-0699-234A-8B43-781EB344467D}">
  <dimension ref="B2:Z129"/>
  <sheetViews>
    <sheetView showGridLines="0" workbookViewId="0">
      <selection activeCell="C41" sqref="C41"/>
    </sheetView>
  </sheetViews>
  <sheetFormatPr baseColWidth="10" defaultRowHeight="16"/>
  <cols>
    <col min="1" max="1" width="2.83203125" customWidth="1"/>
    <col min="2" max="2" width="6.83203125" bestFit="1" customWidth="1"/>
    <col min="3" max="3" width="9.5" customWidth="1"/>
    <col min="4" max="4" width="7.1640625" customWidth="1"/>
    <col min="5" max="5" width="6.83203125" bestFit="1" customWidth="1"/>
    <col min="6" max="19" width="7.6640625" customWidth="1"/>
    <col min="20" max="20" width="2.33203125" customWidth="1"/>
    <col min="21" max="21" width="8.1640625" bestFit="1" customWidth="1"/>
    <col min="22" max="22" width="13.33203125" bestFit="1" customWidth="1"/>
    <col min="23" max="23" width="6.1640625" customWidth="1"/>
    <col min="24" max="24" width="7.5" customWidth="1"/>
    <col min="25" max="25" width="10" customWidth="1"/>
    <col min="27" max="27" width="8.6640625" bestFit="1" customWidth="1"/>
    <col min="28" max="29" width="6.6640625" bestFit="1" customWidth="1"/>
    <col min="30" max="31" width="5.6640625" bestFit="1" customWidth="1"/>
    <col min="32" max="32" width="6.6640625" bestFit="1" customWidth="1"/>
    <col min="33" max="33" width="6.1640625" bestFit="1" customWidth="1"/>
    <col min="34" max="34" width="5.33203125" bestFit="1" customWidth="1"/>
    <col min="35" max="36" width="6.6640625" bestFit="1" customWidth="1"/>
    <col min="37" max="38" width="5.6640625" bestFit="1" customWidth="1"/>
    <col min="39" max="39" width="6.6640625" bestFit="1" customWidth="1"/>
    <col min="40" max="40" width="6.1640625" bestFit="1" customWidth="1"/>
    <col min="41" max="41" width="5.33203125" bestFit="1" customWidth="1"/>
  </cols>
  <sheetData>
    <row r="2" spans="2:25">
      <c r="E2" s="20"/>
      <c r="F2" s="4" t="s">
        <v>0</v>
      </c>
      <c r="G2" s="5" t="s">
        <v>1</v>
      </c>
      <c r="H2" s="5" t="s">
        <v>2</v>
      </c>
      <c r="I2" s="5" t="s">
        <v>3</v>
      </c>
      <c r="J2" s="5" t="s">
        <v>4</v>
      </c>
      <c r="K2" s="5" t="s">
        <v>5</v>
      </c>
      <c r="L2" s="6" t="s">
        <v>6</v>
      </c>
      <c r="M2" s="4" t="s">
        <v>7</v>
      </c>
      <c r="N2" s="5" t="s">
        <v>8</v>
      </c>
      <c r="O2" s="5" t="s">
        <v>9</v>
      </c>
      <c r="P2" s="5" t="s">
        <v>10</v>
      </c>
      <c r="Q2" s="5" t="s">
        <v>11</v>
      </c>
      <c r="R2" s="5" t="s">
        <v>12</v>
      </c>
      <c r="S2" s="6" t="s">
        <v>13</v>
      </c>
    </row>
    <row r="3" spans="2:25">
      <c r="B3" s="39" t="s">
        <v>15</v>
      </c>
      <c r="C3" s="38">
        <v>38500</v>
      </c>
      <c r="E3" s="20"/>
      <c r="F3" s="21">
        <f>C7</f>
        <v>1.51878045467599</v>
      </c>
      <c r="G3" s="22">
        <f>C8</f>
        <v>1.0609337161347201</v>
      </c>
      <c r="H3" s="22">
        <f>C9</f>
        <v>0.51150771852670396</v>
      </c>
      <c r="I3" s="22">
        <f>C10</f>
        <v>0.13294626140538701</v>
      </c>
      <c r="J3" s="22">
        <f>C11</f>
        <v>8.5249938709489201E-2</v>
      </c>
      <c r="K3" s="22">
        <f>C12</f>
        <v>0.13421815606965401</v>
      </c>
      <c r="L3" s="23">
        <f>C13</f>
        <v>9.6449970484074193E-2</v>
      </c>
      <c r="M3" s="21">
        <f>C14</f>
        <v>1.4828671095071</v>
      </c>
      <c r="N3" s="22">
        <f>C15</f>
        <v>1.09488886432123</v>
      </c>
      <c r="O3" s="22">
        <f>C16</f>
        <v>0.499086972197469</v>
      </c>
      <c r="P3" s="22">
        <f>C17</f>
        <v>0.13734565198507301</v>
      </c>
      <c r="Q3" s="22">
        <f>C18</f>
        <v>8.6727346929179203E-2</v>
      </c>
      <c r="R3" s="22">
        <f>C19</f>
        <v>0.13193729779494401</v>
      </c>
      <c r="S3" s="23">
        <f>C20</f>
        <v>3.3387290187160398E-2</v>
      </c>
      <c r="U3" s="39" t="s">
        <v>17</v>
      </c>
      <c r="V3" s="38">
        <f>9.25*3600</f>
        <v>33300</v>
      </c>
      <c r="X3" s="80" t="s">
        <v>26</v>
      </c>
      <c r="Y3" s="79">
        <v>986101</v>
      </c>
    </row>
    <row r="6" spans="2:25">
      <c r="B6" s="40" t="s">
        <v>16</v>
      </c>
      <c r="C6" s="40" t="s">
        <v>14</v>
      </c>
      <c r="E6" s="40" t="s">
        <v>16</v>
      </c>
      <c r="F6" s="41" t="s">
        <v>0</v>
      </c>
      <c r="G6" s="42" t="s">
        <v>1</v>
      </c>
      <c r="H6" s="42" t="s">
        <v>2</v>
      </c>
      <c r="I6" s="42" t="s">
        <v>3</v>
      </c>
      <c r="J6" s="42" t="s">
        <v>4</v>
      </c>
      <c r="K6" s="42" t="s">
        <v>5</v>
      </c>
      <c r="L6" s="43" t="s">
        <v>6</v>
      </c>
      <c r="M6" s="41" t="s">
        <v>7</v>
      </c>
      <c r="N6" s="42" t="s">
        <v>8</v>
      </c>
      <c r="O6" s="42" t="s">
        <v>9</v>
      </c>
      <c r="P6" s="42" t="s">
        <v>10</v>
      </c>
      <c r="Q6" s="42" t="s">
        <v>11</v>
      </c>
      <c r="R6" s="42" t="s">
        <v>12</v>
      </c>
      <c r="S6" s="43" t="s">
        <v>13</v>
      </c>
      <c r="U6" s="40" t="s">
        <v>16</v>
      </c>
      <c r="V6" s="40" t="s">
        <v>18</v>
      </c>
      <c r="X6" s="40" t="s">
        <v>16</v>
      </c>
      <c r="Y6" s="40" t="s">
        <v>19</v>
      </c>
    </row>
    <row r="7" spans="2:25">
      <c r="B7" s="44" t="s">
        <v>0</v>
      </c>
      <c r="C7" s="26">
        <v>1.51878045467599</v>
      </c>
      <c r="E7" s="44" t="s">
        <v>0</v>
      </c>
      <c r="F7" s="29">
        <v>0.34290918891870298</v>
      </c>
      <c r="G7" s="31">
        <v>0.16423602524624401</v>
      </c>
      <c r="H7" s="31">
        <v>6.2712640609646E-2</v>
      </c>
      <c r="I7" s="31">
        <v>0.36572264970714102</v>
      </c>
      <c r="J7" s="31">
        <v>0.36535014982306602</v>
      </c>
      <c r="K7" s="31">
        <v>0.16338882025226001</v>
      </c>
      <c r="L7" s="33">
        <v>4.7904302167658397E-2</v>
      </c>
      <c r="M7" s="29">
        <v>1.60094230504375E-2</v>
      </c>
      <c r="N7" s="31">
        <v>1.12830138940898E-2</v>
      </c>
      <c r="O7" s="31">
        <v>1.68229278805666E-2</v>
      </c>
      <c r="P7" s="31">
        <v>3.21399249714295E-2</v>
      </c>
      <c r="Q7" s="31">
        <v>8.3855704990413296E-2</v>
      </c>
      <c r="R7" s="31">
        <v>7.6871845331219005E-2</v>
      </c>
      <c r="S7" s="33">
        <v>7.2209697514414195E-2</v>
      </c>
      <c r="U7" s="44" t="s">
        <v>0</v>
      </c>
      <c r="V7" s="8">
        <v>3.4674093982571264</v>
      </c>
      <c r="X7" s="44" t="s">
        <v>0</v>
      </c>
      <c r="Y7" s="47">
        <v>116564</v>
      </c>
    </row>
    <row r="8" spans="2:25">
      <c r="B8" s="45" t="s">
        <v>1</v>
      </c>
      <c r="C8" s="27">
        <v>1.0609337161347201</v>
      </c>
      <c r="E8" s="45" t="s">
        <v>1</v>
      </c>
      <c r="F8" s="32">
        <v>9.19475032400391E-2</v>
      </c>
      <c r="G8" s="30">
        <v>0.327374230271535</v>
      </c>
      <c r="H8" s="30">
        <v>4.15683675079149E-2</v>
      </c>
      <c r="I8" s="30">
        <v>7.6154028047043396E-2</v>
      </c>
      <c r="J8" s="30">
        <v>1.9634368755259E-2</v>
      </c>
      <c r="K8" s="30">
        <v>2.41526805660577E-2</v>
      </c>
      <c r="L8" s="34">
        <v>5.8171359160926403E-2</v>
      </c>
      <c r="M8" s="32">
        <v>3.1708912530308601E-2</v>
      </c>
      <c r="N8" s="30">
        <v>2.5552260374807199E-2</v>
      </c>
      <c r="O8" s="30">
        <v>1.89301622362744E-2</v>
      </c>
      <c r="P8" s="30">
        <v>-4.5989399694985403E-2</v>
      </c>
      <c r="Q8" s="30">
        <v>-4.31746921803252E-2</v>
      </c>
      <c r="R8" s="30">
        <v>4.6158074499946598E-2</v>
      </c>
      <c r="S8" s="34">
        <v>5.6753234879983003E-2</v>
      </c>
      <c r="U8" s="45" t="s">
        <v>1</v>
      </c>
      <c r="V8" s="9">
        <v>2.4200624977627681</v>
      </c>
      <c r="X8" s="45" t="s">
        <v>1</v>
      </c>
      <c r="Y8" s="48">
        <v>81484</v>
      </c>
    </row>
    <row r="9" spans="2:25">
      <c r="B9" s="45" t="s">
        <v>2</v>
      </c>
      <c r="C9" s="27">
        <v>0.51150771852670396</v>
      </c>
      <c r="E9" s="45" t="s">
        <v>2</v>
      </c>
      <c r="F9" s="32">
        <v>6.5067782908926498E-3</v>
      </c>
      <c r="G9" s="30">
        <v>2.01343346202001E-2</v>
      </c>
      <c r="H9" s="30">
        <v>0.201700056144517</v>
      </c>
      <c r="I9" s="30">
        <v>-3.8318697444796302E-3</v>
      </c>
      <c r="J9" s="30">
        <v>-2.35319917380142E-2</v>
      </c>
      <c r="K9" s="30">
        <v>-4.9210180220441999E-3</v>
      </c>
      <c r="L9" s="34">
        <v>-1.5982733683854399E-2</v>
      </c>
      <c r="M9" s="32">
        <v>2.9324698691545899E-3</v>
      </c>
      <c r="N9" s="30">
        <v>3.6562217758992202E-3</v>
      </c>
      <c r="O9" s="30">
        <v>-1.8903609568762299E-3</v>
      </c>
      <c r="P9" s="30">
        <v>3.0005585868270599E-2</v>
      </c>
      <c r="Q9" s="30">
        <v>9.9526994719980805E-2</v>
      </c>
      <c r="R9" s="30">
        <v>1.91760887137298E-3</v>
      </c>
      <c r="S9" s="34">
        <v>-3.6364808625553502E-3</v>
      </c>
      <c r="U9" s="45" t="s">
        <v>2</v>
      </c>
      <c r="V9" s="9">
        <v>0.76815261344706576</v>
      </c>
      <c r="X9" s="45" t="s">
        <v>2</v>
      </c>
      <c r="Y9" s="48">
        <v>25795</v>
      </c>
    </row>
    <row r="10" spans="2:25">
      <c r="B10" s="45" t="s">
        <v>3</v>
      </c>
      <c r="C10" s="27">
        <v>0.13294626140538701</v>
      </c>
      <c r="E10" s="45" t="s">
        <v>3</v>
      </c>
      <c r="F10" s="32">
        <v>6.6583095926289297E-3</v>
      </c>
      <c r="G10" s="30">
        <v>5.9456003485464804E-3</v>
      </c>
      <c r="H10" s="30">
        <v>5.4136263962473001E-3</v>
      </c>
      <c r="I10" s="30">
        <v>-4.5749812573497403E-2</v>
      </c>
      <c r="J10" s="30">
        <v>9.2771056865262498E-4</v>
      </c>
      <c r="K10" s="30">
        <v>0.293532844545701</v>
      </c>
      <c r="L10" s="34">
        <v>0.21227460063978301</v>
      </c>
      <c r="M10" s="32">
        <v>1.852603113978E-3</v>
      </c>
      <c r="N10" s="30">
        <v>3.8995790992995098E-3</v>
      </c>
      <c r="O10" s="30">
        <v>-2.0026374279151901E-3</v>
      </c>
      <c r="P10" s="30">
        <v>-2.5623802121329E-2</v>
      </c>
      <c r="Q10" s="30">
        <v>5.3316678159957697E-5</v>
      </c>
      <c r="R10" s="30">
        <v>8.7873805544218003E-2</v>
      </c>
      <c r="S10" s="34">
        <v>0.12544486596770599</v>
      </c>
      <c r="U10" s="45" t="s">
        <v>3</v>
      </c>
      <c r="V10" s="9">
        <v>0.2787857719375465</v>
      </c>
      <c r="X10" s="45" t="s">
        <v>3</v>
      </c>
      <c r="Y10" s="48">
        <v>9816</v>
      </c>
    </row>
    <row r="11" spans="2:25">
      <c r="B11" s="45" t="s">
        <v>4</v>
      </c>
      <c r="C11" s="27">
        <v>8.5249938709489201E-2</v>
      </c>
      <c r="E11" s="45" t="s">
        <v>4</v>
      </c>
      <c r="F11" s="32">
        <v>7.3428168762472196E-4</v>
      </c>
      <c r="G11" s="30">
        <v>2.68145138660133E-3</v>
      </c>
      <c r="H11" s="30">
        <v>1.1696661238548499E-2</v>
      </c>
      <c r="I11" s="30">
        <v>-1.1890443654909301E-3</v>
      </c>
      <c r="J11" s="30">
        <v>-6.9168551419427201E-3</v>
      </c>
      <c r="K11" s="30">
        <v>-2.8292145454133599E-4</v>
      </c>
      <c r="L11" s="34">
        <v>-2.4190675601199899E-3</v>
      </c>
      <c r="M11" s="32">
        <v>4.3541973799632598E-4</v>
      </c>
      <c r="N11" s="30">
        <v>1.04071376466153E-3</v>
      </c>
      <c r="O11" s="30">
        <v>1.8776987287010599E-3</v>
      </c>
      <c r="P11" s="30">
        <v>1.6652889393492101E-2</v>
      </c>
      <c r="Q11" s="30">
        <v>1.5887867271555299E-2</v>
      </c>
      <c r="R11" s="30">
        <v>-7.4132993144363304E-4</v>
      </c>
      <c r="S11" s="34">
        <v>-2.2129469415506698E-3</v>
      </c>
      <c r="U11" s="45" t="s">
        <v>4</v>
      </c>
      <c r="V11" s="9">
        <v>0.11345254756239316</v>
      </c>
      <c r="X11" s="45" t="s">
        <v>4</v>
      </c>
      <c r="Y11" s="48">
        <v>3888</v>
      </c>
    </row>
    <row r="12" spans="2:25">
      <c r="B12" s="45" t="s">
        <v>5</v>
      </c>
      <c r="C12" s="27">
        <v>0.13421815606965401</v>
      </c>
      <c r="E12" s="45" t="s">
        <v>5</v>
      </c>
      <c r="F12" s="32">
        <v>1.83208303264696E-3</v>
      </c>
      <c r="G12" s="30">
        <v>3.9578120638380397E-3</v>
      </c>
      <c r="H12" s="30">
        <v>3.5579166521506202E-2</v>
      </c>
      <c r="I12" s="30">
        <v>-5.7424980006844204E-4</v>
      </c>
      <c r="J12" s="30">
        <v>-8.3296327018268397E-3</v>
      </c>
      <c r="K12" s="30">
        <v>-3.4199993617240101E-3</v>
      </c>
      <c r="L12" s="34">
        <v>-4.8346899889139304E-3</v>
      </c>
      <c r="M12" s="32">
        <v>2.10180643715618E-4</v>
      </c>
      <c r="N12" s="30">
        <v>2.1845906385754899E-3</v>
      </c>
      <c r="O12" s="30">
        <v>-1.2105996960914201E-3</v>
      </c>
      <c r="P12" s="30">
        <v>2.14787498183973E-2</v>
      </c>
      <c r="Q12" s="30">
        <v>2.7682651146701501E-2</v>
      </c>
      <c r="R12" s="30">
        <v>-4.2001976817851498E-4</v>
      </c>
      <c r="S12" s="34">
        <v>-1.8869013839578599E-3</v>
      </c>
      <c r="U12" s="45" t="s">
        <v>5</v>
      </c>
      <c r="V12" s="9">
        <v>0.18916674716810084</v>
      </c>
      <c r="X12" s="45" t="s">
        <v>5</v>
      </c>
      <c r="Y12" s="48">
        <v>6380</v>
      </c>
    </row>
    <row r="13" spans="2:25">
      <c r="B13" s="46" t="s">
        <v>6</v>
      </c>
      <c r="C13" s="28">
        <v>9.6449970484074193E-2</v>
      </c>
      <c r="E13" s="46" t="s">
        <v>6</v>
      </c>
      <c r="F13" s="37">
        <v>1.23030981709017E-3</v>
      </c>
      <c r="G13" s="36">
        <v>5.6400570088690899E-3</v>
      </c>
      <c r="H13" s="36">
        <v>7.3297327873314104E-3</v>
      </c>
      <c r="I13" s="36">
        <v>-3.94311492713379E-3</v>
      </c>
      <c r="J13" s="36">
        <v>-8.5899107052974395E-3</v>
      </c>
      <c r="K13" s="36">
        <v>-2.0471567832920099E-3</v>
      </c>
      <c r="L13" s="35">
        <v>-8.9884050067511501E-4</v>
      </c>
      <c r="M13" s="37">
        <v>-5.6080442461608798E-4</v>
      </c>
      <c r="N13" s="36">
        <v>2.0770921385372802E-3</v>
      </c>
      <c r="O13" s="36">
        <v>-1.1082373319028099E-3</v>
      </c>
      <c r="P13" s="36">
        <v>4.9233368984631397E-2</v>
      </c>
      <c r="Q13" s="36">
        <v>2.99657780679938E-2</v>
      </c>
      <c r="R13" s="36">
        <v>-3.9206860755547097E-3</v>
      </c>
      <c r="S13" s="35">
        <v>9.2188464516626802E-5</v>
      </c>
      <c r="U13" s="46" t="s">
        <v>6</v>
      </c>
      <c r="V13" s="10">
        <v>0.13624382303333743</v>
      </c>
      <c r="X13" s="46" t="s">
        <v>6</v>
      </c>
      <c r="Y13" s="49">
        <v>4826</v>
      </c>
    </row>
    <row r="14" spans="2:25">
      <c r="B14" s="44" t="s">
        <v>7</v>
      </c>
      <c r="C14" s="8">
        <v>1.4828671095071</v>
      </c>
      <c r="E14" s="44" t="s">
        <v>7</v>
      </c>
      <c r="F14" s="11">
        <v>1.5383192486147401E-2</v>
      </c>
      <c r="G14" s="12">
        <v>1.16132993025244E-2</v>
      </c>
      <c r="H14" s="12">
        <v>1.4300978263131901E-2</v>
      </c>
      <c r="I14" s="12">
        <v>2.28952673552262E-2</v>
      </c>
      <c r="J14" s="12">
        <v>7.8130432818749304E-2</v>
      </c>
      <c r="K14" s="12">
        <v>6.9627994041383701E-2</v>
      </c>
      <c r="L14" s="13">
        <v>5.5071100481073602E-2</v>
      </c>
      <c r="M14" s="11">
        <v>0.34049348468739599</v>
      </c>
      <c r="N14" s="12">
        <v>0.16339375858194899</v>
      </c>
      <c r="O14" s="12">
        <v>6.5933675398837793E-2</v>
      </c>
      <c r="P14" s="12">
        <v>0.35325719458858001</v>
      </c>
      <c r="Q14" s="12">
        <v>0.33388265710106302</v>
      </c>
      <c r="R14" s="12">
        <v>0.155435776974679</v>
      </c>
      <c r="S14" s="13">
        <v>6.4105953398246998E-2</v>
      </c>
      <c r="U14" s="44" t="s">
        <v>7</v>
      </c>
      <c r="V14" s="8">
        <v>3.3903131095458963</v>
      </c>
      <c r="X14" s="44" t="s">
        <v>7</v>
      </c>
      <c r="Y14" s="47">
        <v>113623</v>
      </c>
    </row>
    <row r="15" spans="2:25">
      <c r="B15" s="45" t="s">
        <v>8</v>
      </c>
      <c r="C15" s="9">
        <v>1.09488886432123</v>
      </c>
      <c r="E15" s="45" t="s">
        <v>8</v>
      </c>
      <c r="F15" s="14">
        <v>2.9380462991380699E-2</v>
      </c>
      <c r="G15" s="15">
        <v>2.80987470351753E-2</v>
      </c>
      <c r="H15" s="15">
        <v>2.0915047773490798E-2</v>
      </c>
      <c r="I15" s="15">
        <v>-4.1338347684309697E-2</v>
      </c>
      <c r="J15" s="15">
        <v>-4.0249533350319701E-2</v>
      </c>
      <c r="K15" s="15">
        <v>2.9085156190909098E-2</v>
      </c>
      <c r="L15" s="16">
        <v>6.5260339814804003E-2</v>
      </c>
      <c r="M15" s="14">
        <v>9.0577266248633007E-2</v>
      </c>
      <c r="N15" s="15">
        <v>0.32953092945978102</v>
      </c>
      <c r="O15" s="15">
        <v>4.0762039145847598E-2</v>
      </c>
      <c r="P15" s="15">
        <v>8.1384300057729703E-2</v>
      </c>
      <c r="Q15" s="15">
        <v>3.1344286342676601E-2</v>
      </c>
      <c r="R15" s="15">
        <v>3.7009666841773203E-2</v>
      </c>
      <c r="S15" s="16">
        <v>3.9782442538881198E-2</v>
      </c>
      <c r="U15" s="45" t="s">
        <v>8</v>
      </c>
      <c r="V15" s="9">
        <v>2.4671082456420037</v>
      </c>
      <c r="X15" s="45" t="s">
        <v>8</v>
      </c>
      <c r="Y15" s="48">
        <v>83022</v>
      </c>
    </row>
    <row r="16" spans="2:25">
      <c r="B16" s="45" t="s">
        <v>9</v>
      </c>
      <c r="C16" s="9">
        <v>0.499086972197469</v>
      </c>
      <c r="E16" s="45" t="s">
        <v>9</v>
      </c>
      <c r="F16" s="14">
        <v>3.3039268542810999E-3</v>
      </c>
      <c r="G16" s="15">
        <v>3.9563700985586203E-3</v>
      </c>
      <c r="H16" s="15">
        <v>-1.40582381833015E-3</v>
      </c>
      <c r="I16" s="15">
        <v>2.9204133087462E-2</v>
      </c>
      <c r="J16" s="15">
        <v>9.3273394498177106E-2</v>
      </c>
      <c r="K16" s="15">
        <v>-1.86739517204689E-3</v>
      </c>
      <c r="L16" s="16">
        <v>-2.8236843902308601E-3</v>
      </c>
      <c r="M16" s="14">
        <v>8.3022969830123892E-3</v>
      </c>
      <c r="N16" s="15">
        <v>1.92274521616131E-2</v>
      </c>
      <c r="O16" s="15">
        <v>0.223611626935795</v>
      </c>
      <c r="P16" s="15">
        <v>-5.0965317621417903E-3</v>
      </c>
      <c r="Q16" s="15">
        <v>-2.7428830052050199E-2</v>
      </c>
      <c r="R16" s="15">
        <v>1.9447800669093701E-3</v>
      </c>
      <c r="S16" s="16">
        <v>-2.1623454921797299E-2</v>
      </c>
      <c r="U16" s="45" t="s">
        <v>9</v>
      </c>
      <c r="V16" s="9">
        <v>0.78165044341637668</v>
      </c>
      <c r="X16" s="45" t="s">
        <v>9</v>
      </c>
      <c r="Y16" s="48">
        <v>26323</v>
      </c>
    </row>
    <row r="17" spans="2:25">
      <c r="B17" s="45" t="s">
        <v>10</v>
      </c>
      <c r="C17" s="9">
        <v>0.13734565198507301</v>
      </c>
      <c r="E17" s="45" t="s">
        <v>10</v>
      </c>
      <c r="F17" s="14">
        <v>1.9889598950882802E-3</v>
      </c>
      <c r="G17" s="15">
        <v>4.2062850823392202E-3</v>
      </c>
      <c r="H17" s="15">
        <v>-1.11642431611279E-3</v>
      </c>
      <c r="I17" s="15">
        <v>-2.51516115049196E-2</v>
      </c>
      <c r="J17" s="15">
        <v>-4.4794247516823198E-3</v>
      </c>
      <c r="K17" s="15">
        <v>9.8827456236635303E-2</v>
      </c>
      <c r="L17" s="16">
        <v>0.12446387549358801</v>
      </c>
      <c r="M17" s="14">
        <v>5.5296339103878397E-3</v>
      </c>
      <c r="N17" s="15">
        <v>7.2267742091874799E-3</v>
      </c>
      <c r="O17" s="15">
        <v>6.0280852769722297E-3</v>
      </c>
      <c r="P17" s="15">
        <v>-4.4922728470797403E-2</v>
      </c>
      <c r="Q17" s="15">
        <v>-4.6717363066616597E-3</v>
      </c>
      <c r="R17" s="15">
        <v>0.28647216251212898</v>
      </c>
      <c r="S17" s="16">
        <v>0.24249741720243601</v>
      </c>
      <c r="U17" s="45" t="s">
        <v>10</v>
      </c>
      <c r="V17" s="9">
        <v>0.28013145529277372</v>
      </c>
      <c r="X17" s="45" t="s">
        <v>10</v>
      </c>
      <c r="Y17" s="48">
        <v>10003</v>
      </c>
    </row>
    <row r="18" spans="2:25">
      <c r="B18" s="45" t="s">
        <v>11</v>
      </c>
      <c r="C18" s="9">
        <v>8.6727346929179203E-2</v>
      </c>
      <c r="E18" s="45" t="s">
        <v>11</v>
      </c>
      <c r="F18" s="14">
        <v>2.6970043490546401E-4</v>
      </c>
      <c r="G18" s="15">
        <v>8.5631029315254899E-4</v>
      </c>
      <c r="H18" s="15">
        <v>-4.6916488072681201E-4</v>
      </c>
      <c r="I18" s="15">
        <v>2.1677143632677899E-2</v>
      </c>
      <c r="J18" s="15">
        <v>1.4640814953949701E-2</v>
      </c>
      <c r="K18" s="15">
        <v>-1.4988455404217301E-4</v>
      </c>
      <c r="L18" s="16">
        <v>-2.8686260956249602E-3</v>
      </c>
      <c r="M18" s="14">
        <v>8.9549263289976299E-4</v>
      </c>
      <c r="N18" s="15">
        <v>1.56846288612631E-3</v>
      </c>
      <c r="O18" s="15">
        <v>1.2401404514744E-2</v>
      </c>
      <c r="P18" s="15">
        <v>-5.5829974518071504E-4</v>
      </c>
      <c r="Q18" s="15">
        <v>5.5641820939758002E-3</v>
      </c>
      <c r="R18" s="15">
        <v>-4.6081047525570803E-4</v>
      </c>
      <c r="S18" s="16">
        <v>-3.4115568056548601E-3</v>
      </c>
      <c r="U18" s="45" t="s">
        <v>11</v>
      </c>
      <c r="V18" s="9">
        <v>0.11340191063242222</v>
      </c>
      <c r="X18" s="45" t="s">
        <v>11</v>
      </c>
      <c r="Y18" s="48">
        <v>3875</v>
      </c>
    </row>
    <row r="19" spans="2:25">
      <c r="B19" s="45" t="s">
        <v>12</v>
      </c>
      <c r="C19" s="9">
        <v>0.13193729779494401</v>
      </c>
      <c r="E19" s="45" t="s">
        <v>12</v>
      </c>
      <c r="F19" s="14">
        <v>-2.4502598103599702E-4</v>
      </c>
      <c r="G19" s="15">
        <v>2.4127587815631099E-3</v>
      </c>
      <c r="H19" s="15">
        <v>-3.9310549530776798E-4</v>
      </c>
      <c r="I19" s="15">
        <v>1.9063161470022901E-2</v>
      </c>
      <c r="J19" s="15">
        <v>1.44899973748453E-2</v>
      </c>
      <c r="K19" s="15">
        <v>-2.0375895958738501E-3</v>
      </c>
      <c r="L19" s="16">
        <v>-3.3970123983393802E-3</v>
      </c>
      <c r="M19" s="14">
        <v>1.8148492513055E-3</v>
      </c>
      <c r="N19" s="15">
        <v>4.2567435888862803E-3</v>
      </c>
      <c r="O19" s="15">
        <v>3.35070689951125E-2</v>
      </c>
      <c r="P19" s="15">
        <v>-2.0081131500283601E-3</v>
      </c>
      <c r="Q19" s="15">
        <v>-2.93825814683394E-3</v>
      </c>
      <c r="R19" s="15">
        <v>-1.3650191412132599E-3</v>
      </c>
      <c r="S19" s="16">
        <v>-4.81753257590899E-3</v>
      </c>
      <c r="U19" s="45" t="s">
        <v>12</v>
      </c>
      <c r="V19" s="9">
        <v>0.18408533358505785</v>
      </c>
      <c r="X19" s="45" t="s">
        <v>12</v>
      </c>
      <c r="Y19" s="48">
        <v>6208</v>
      </c>
    </row>
    <row r="20" spans="2:25">
      <c r="B20" s="46" t="s">
        <v>13</v>
      </c>
      <c r="C20" s="10">
        <v>3.3387290187160398E-2</v>
      </c>
      <c r="E20" s="46" t="s">
        <v>13</v>
      </c>
      <c r="F20" s="17">
        <v>-5.4837373356472297E-4</v>
      </c>
      <c r="G20" s="18">
        <v>2.31709402209819E-3</v>
      </c>
      <c r="H20" s="18">
        <v>-9.6337620584894797E-4</v>
      </c>
      <c r="I20" s="18">
        <v>4.7859725651628701E-2</v>
      </c>
      <c r="J20" s="18">
        <v>1.2602050769776101E-2</v>
      </c>
      <c r="K20" s="18">
        <v>-4.48341518156283E-3</v>
      </c>
      <c r="L20" s="19">
        <v>6.6768650694746202E-3</v>
      </c>
      <c r="M20" s="17">
        <v>4.26355182761704E-4</v>
      </c>
      <c r="N20" s="18">
        <v>6.1308749749070298E-3</v>
      </c>
      <c r="O20" s="18">
        <v>7.4836449183538498E-3</v>
      </c>
      <c r="P20" s="18">
        <v>-5.2673101410404704E-4</v>
      </c>
      <c r="Q20" s="18">
        <v>-4.49498671140907E-3</v>
      </c>
      <c r="R20" s="18">
        <v>-1.50001419227603E-3</v>
      </c>
      <c r="S20" s="19">
        <v>-5.5762335056275397E-3</v>
      </c>
      <c r="U20" s="46" t="s">
        <v>13</v>
      </c>
      <c r="V20" s="10">
        <v>7.227143733537654E-2</v>
      </c>
      <c r="X20" s="46" t="s">
        <v>13</v>
      </c>
      <c r="Y20" s="49">
        <v>2619</v>
      </c>
    </row>
    <row r="22" spans="2:25">
      <c r="B22" s="24" t="s">
        <v>15</v>
      </c>
      <c r="C22" s="25">
        <v>43900</v>
      </c>
      <c r="E22" s="76" t="s">
        <v>39</v>
      </c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8"/>
      <c r="V22" s="54">
        <f>Y22/V3</f>
        <v>14.847627627627627</v>
      </c>
      <c r="X22" s="53" t="s">
        <v>20</v>
      </c>
      <c r="Y22" s="51">
        <f>SUM(Y7:Y20)</f>
        <v>494426</v>
      </c>
    </row>
    <row r="24" spans="2:25">
      <c r="C24" s="7" t="s">
        <v>14</v>
      </c>
      <c r="F24" s="4" t="s">
        <v>0</v>
      </c>
      <c r="G24" s="5" t="s">
        <v>1</v>
      </c>
      <c r="H24" s="5" t="s">
        <v>2</v>
      </c>
      <c r="I24" s="5" t="s">
        <v>3</v>
      </c>
      <c r="J24" s="5" t="s">
        <v>4</v>
      </c>
      <c r="K24" s="5" t="s">
        <v>5</v>
      </c>
      <c r="L24" s="6" t="s">
        <v>6</v>
      </c>
      <c r="M24" s="4" t="s">
        <v>7</v>
      </c>
      <c r="N24" s="5" t="s">
        <v>8</v>
      </c>
      <c r="O24" s="5" t="s">
        <v>9</v>
      </c>
      <c r="P24" s="5" t="s">
        <v>10</v>
      </c>
      <c r="Q24" s="5" t="s">
        <v>11</v>
      </c>
      <c r="R24" s="5" t="s">
        <v>12</v>
      </c>
      <c r="S24" s="6" t="s">
        <v>13</v>
      </c>
    </row>
    <row r="25" spans="2:25">
      <c r="B25" s="1" t="s">
        <v>0</v>
      </c>
      <c r="C25" s="8">
        <v>0.53518929796793402</v>
      </c>
      <c r="E25" s="1" t="s">
        <v>0</v>
      </c>
      <c r="F25" s="11">
        <v>0.39333808477912902</v>
      </c>
      <c r="G25" s="12">
        <v>5.7335014463377403E-2</v>
      </c>
      <c r="H25" s="12">
        <v>3.1938202468483202E-2</v>
      </c>
      <c r="I25" s="12">
        <v>8.5775416835740706E-2</v>
      </c>
      <c r="J25" s="12">
        <v>7.9671694629496002E-3</v>
      </c>
      <c r="K25" s="12">
        <v>5.4221537536206198E-2</v>
      </c>
      <c r="L25" s="13">
        <v>5.52612743728879E-2</v>
      </c>
      <c r="M25" s="11">
        <v>6.9413874835648299E-3</v>
      </c>
      <c r="N25" s="12">
        <v>3.2451297547875103E-2</v>
      </c>
      <c r="O25" s="12">
        <v>3.72762350126525E-4</v>
      </c>
      <c r="P25" s="12">
        <v>5.2964971157036501E-2</v>
      </c>
      <c r="Q25" s="12">
        <v>3.1530141109194297E-2</v>
      </c>
      <c r="R25" s="12">
        <v>6.5642164419937102E-2</v>
      </c>
      <c r="S25" s="13">
        <v>9.68346946735128E-2</v>
      </c>
    </row>
    <row r="26" spans="2:25">
      <c r="B26" s="2" t="s">
        <v>1</v>
      </c>
      <c r="C26" s="9">
        <v>0.70256426484755097</v>
      </c>
      <c r="E26" s="2" t="s">
        <v>1</v>
      </c>
      <c r="F26" s="14">
        <v>4.1243283557498199E-2</v>
      </c>
      <c r="G26" s="15">
        <v>0.37634718143700402</v>
      </c>
      <c r="H26" s="15">
        <v>1.7018291471972799E-2</v>
      </c>
      <c r="I26" s="15">
        <v>7.0032566206097893E-2</v>
      </c>
      <c r="J26" s="15">
        <v>3.49320987376166E-3</v>
      </c>
      <c r="K26" s="15">
        <v>4.3366917344522402E-2</v>
      </c>
      <c r="L26" s="16">
        <v>7.9963648219744193E-2</v>
      </c>
      <c r="M26" s="14">
        <v>5.7575899393591701E-2</v>
      </c>
      <c r="N26" s="15">
        <v>1.9197961744020799E-2</v>
      </c>
      <c r="O26" s="15">
        <v>3.0351318753288802E-2</v>
      </c>
      <c r="P26" s="15">
        <v>-3.0116819052774101E-2</v>
      </c>
      <c r="Q26" s="15">
        <v>-2.0028311064219798E-3</v>
      </c>
      <c r="R26" s="15">
        <v>6.2972875703747599E-2</v>
      </c>
      <c r="S26" s="16">
        <v>9.5804098530645795E-2</v>
      </c>
    </row>
    <row r="27" spans="2:25">
      <c r="B27" s="2" t="s">
        <v>2</v>
      </c>
      <c r="C27" s="9">
        <v>0.104772667257835</v>
      </c>
      <c r="E27" s="2" t="s">
        <v>2</v>
      </c>
      <c r="F27" s="14">
        <v>2.4471903605458199E-3</v>
      </c>
      <c r="G27" s="15">
        <v>6.7191827498578195E-4</v>
      </c>
      <c r="H27" s="15">
        <v>7.4962453416156594E-2</v>
      </c>
      <c r="I27" s="15">
        <v>1.4978097676933901E-3</v>
      </c>
      <c r="J27" s="15">
        <v>6.1566615586447397E-3</v>
      </c>
      <c r="K27" s="15">
        <v>-3.5595365562638199E-5</v>
      </c>
      <c r="L27" s="16">
        <v>-1.4982784980235599E-3</v>
      </c>
      <c r="M27" s="14">
        <v>8.8187037875153305E-5</v>
      </c>
      <c r="N27" s="15">
        <v>2.32829780879491E-3</v>
      </c>
      <c r="O27" s="15">
        <v>-8.6233302318118295E-4</v>
      </c>
      <c r="P27" s="15">
        <v>2.5651735819466801E-3</v>
      </c>
      <c r="Q27" s="15">
        <v>5.5294980578047999E-3</v>
      </c>
      <c r="R27" s="15">
        <v>1.21448437078637E-3</v>
      </c>
      <c r="S27" s="16">
        <v>8.7835188807947496E-4</v>
      </c>
    </row>
    <row r="28" spans="2:25">
      <c r="B28" s="2" t="s">
        <v>3</v>
      </c>
      <c r="C28" s="9">
        <v>7.4960988215726596E-2</v>
      </c>
      <c r="E28" s="2" t="s">
        <v>3</v>
      </c>
      <c r="F28" s="14">
        <v>6.2226383180827597E-3</v>
      </c>
      <c r="G28" s="15">
        <v>4.9504951607491103E-3</v>
      </c>
      <c r="H28" s="15">
        <v>1.7078345826599701E-3</v>
      </c>
      <c r="I28" s="15">
        <v>-3.6075901851358801E-3</v>
      </c>
      <c r="J28" s="15">
        <v>3.3006925548922702E-3</v>
      </c>
      <c r="K28" s="15">
        <v>9.4326811920502102E-2</v>
      </c>
      <c r="L28" s="16">
        <v>1.5478230926690401E-2</v>
      </c>
      <c r="M28" s="14">
        <v>4.1146918057986702E-3</v>
      </c>
      <c r="N28" s="15">
        <v>4.7622244242812896E-3</v>
      </c>
      <c r="O28" s="15">
        <v>-2.5855480836690199E-4</v>
      </c>
      <c r="P28" s="15">
        <v>-7.6351775926445297E-4</v>
      </c>
      <c r="Q28" s="15">
        <v>4.0278178828526698E-4</v>
      </c>
      <c r="R28" s="15">
        <v>1.6262713816809701E-2</v>
      </c>
      <c r="S28" s="16">
        <v>4.5347171390928601E-2</v>
      </c>
    </row>
    <row r="29" spans="2:25">
      <c r="B29" s="2" t="s">
        <v>4</v>
      </c>
      <c r="C29" s="9">
        <v>2.2412680624724599E-2</v>
      </c>
      <c r="E29" s="2" t="s">
        <v>4</v>
      </c>
      <c r="F29" s="14">
        <v>-9.5147050198429806E-5</v>
      </c>
      <c r="G29" s="15">
        <v>1.9759123468192699E-4</v>
      </c>
      <c r="H29" s="15">
        <v>3.1122852090647202E-3</v>
      </c>
      <c r="I29" s="15">
        <v>1.25135736058503E-3</v>
      </c>
      <c r="J29" s="15">
        <v>-5.9324822708124803E-3</v>
      </c>
      <c r="K29" s="15">
        <v>3.1178409624240599E-3</v>
      </c>
      <c r="L29" s="16">
        <v>-7.5523759042768804E-4</v>
      </c>
      <c r="M29" s="14">
        <v>1.7123687731292799E-4</v>
      </c>
      <c r="N29" s="15">
        <v>2.5468109670667E-4</v>
      </c>
      <c r="O29" s="15">
        <v>-5.9918335869714998E-4</v>
      </c>
      <c r="P29" s="15">
        <v>4.3857797995441102E-4</v>
      </c>
      <c r="Q29" s="15">
        <v>1.7250074928351301E-3</v>
      </c>
      <c r="R29" s="15">
        <v>5.5038115476256004E-4</v>
      </c>
      <c r="S29" s="16">
        <v>3.6784800534303498E-4</v>
      </c>
    </row>
    <row r="30" spans="2:25">
      <c r="B30" s="2" t="s">
        <v>5</v>
      </c>
      <c r="C30" s="9">
        <v>5.1322646071090203E-2</v>
      </c>
      <c r="E30" s="2" t="s">
        <v>5</v>
      </c>
      <c r="F30" s="14">
        <v>2.2835460302872601E-3</v>
      </c>
      <c r="G30" s="15">
        <v>5.2265817796300702E-4</v>
      </c>
      <c r="H30" s="15">
        <v>2.1378141978207602E-2</v>
      </c>
      <c r="I30" s="15">
        <v>-1.96109371734838E-3</v>
      </c>
      <c r="J30" s="15">
        <v>-1.00963044765619E-3</v>
      </c>
      <c r="K30" s="15">
        <v>-6.52284809838662E-4</v>
      </c>
      <c r="L30" s="16">
        <v>-2.7341248495544798E-3</v>
      </c>
      <c r="M30" s="14">
        <v>1.7778444072567601E-4</v>
      </c>
      <c r="N30" s="15">
        <v>2.5443357434615098E-3</v>
      </c>
      <c r="O30" s="15">
        <v>-1.0751169224511E-4</v>
      </c>
      <c r="P30" s="15">
        <v>1.0152654207394401E-2</v>
      </c>
      <c r="Q30" s="15">
        <v>8.3493711327698797E-3</v>
      </c>
      <c r="R30" s="15">
        <v>-1.0472415122905899E-3</v>
      </c>
      <c r="S30" s="16">
        <v>-6.6693234913382804E-4</v>
      </c>
    </row>
    <row r="31" spans="2:25">
      <c r="B31" s="3" t="s">
        <v>6</v>
      </c>
      <c r="C31" s="10">
        <v>3.3017824876450899E-2</v>
      </c>
      <c r="E31" s="3" t="s">
        <v>6</v>
      </c>
      <c r="F31" s="17">
        <v>3.6684213933323101E-3</v>
      </c>
      <c r="G31" s="18">
        <v>1.7434283524032899E-3</v>
      </c>
      <c r="H31" s="18">
        <v>2.5334860631527501E-3</v>
      </c>
      <c r="I31" s="18">
        <v>-2.31259904188605E-4</v>
      </c>
      <c r="J31" s="18">
        <v>-1.8399282758147901E-3</v>
      </c>
      <c r="K31" s="18">
        <v>-7.3799606772789197E-4</v>
      </c>
      <c r="L31" s="19">
        <v>-3.7638981638834202E-3</v>
      </c>
      <c r="M31" s="17">
        <v>-6.5616434783010802E-4</v>
      </c>
      <c r="N31" s="18">
        <v>3.08463214715052E-3</v>
      </c>
      <c r="O31" s="18">
        <v>-1.12493483439554E-3</v>
      </c>
      <c r="P31" s="18">
        <v>5.60558175961067E-2</v>
      </c>
      <c r="Q31" s="18">
        <v>8.9657628964895496E-3</v>
      </c>
      <c r="R31" s="18">
        <v>4.3054136961228901E-4</v>
      </c>
      <c r="S31" s="19">
        <v>6.3636681013586104E-4</v>
      </c>
    </row>
    <row r="32" spans="2:25">
      <c r="B32" s="1" t="s">
        <v>7</v>
      </c>
      <c r="C32" s="8">
        <v>0.59216568065030994</v>
      </c>
      <c r="E32" s="1" t="s">
        <v>7</v>
      </c>
      <c r="F32" s="11">
        <v>1.35688431217747E-2</v>
      </c>
      <c r="G32" s="12">
        <v>3.4575642010581199E-2</v>
      </c>
      <c r="H32" s="12">
        <v>1.1625969525522199E-3</v>
      </c>
      <c r="I32" s="12">
        <v>7.9251438227665297E-2</v>
      </c>
      <c r="J32" s="12">
        <v>2.5117668914954601E-2</v>
      </c>
      <c r="K32" s="12">
        <v>8.1599348631065202E-2</v>
      </c>
      <c r="L32" s="13">
        <v>0.127761143591787</v>
      </c>
      <c r="M32" s="11">
        <v>0.413192260430645</v>
      </c>
      <c r="N32" s="12">
        <v>5.2822098015012697E-2</v>
      </c>
      <c r="O32" s="12">
        <v>3.8072845669722299E-2</v>
      </c>
      <c r="P32" s="12">
        <v>7.0582725192768203E-2</v>
      </c>
      <c r="Q32" s="12">
        <v>1.9378310882524698E-2</v>
      </c>
      <c r="R32" s="12">
        <v>6.0522712339790001E-2</v>
      </c>
      <c r="S32" s="13">
        <v>7.3938152952921096E-2</v>
      </c>
    </row>
    <row r="33" spans="2:26">
      <c r="B33" s="2" t="s">
        <v>8</v>
      </c>
      <c r="C33" s="9">
        <v>0.62874022819505004</v>
      </c>
      <c r="E33" s="2" t="s">
        <v>8</v>
      </c>
      <c r="F33" s="14">
        <v>5.5635054663094097E-2</v>
      </c>
      <c r="G33" s="15">
        <v>1.45272127107367E-2</v>
      </c>
      <c r="H33" s="15">
        <v>2.6291449661879799E-2</v>
      </c>
      <c r="I33" s="15">
        <v>-3.5524753203823603E-2</v>
      </c>
      <c r="J33" s="15">
        <v>-3.96929986071124E-3</v>
      </c>
      <c r="K33" s="15">
        <v>5.2769505136874499E-2</v>
      </c>
      <c r="L33" s="16">
        <v>6.1220459023021701E-2</v>
      </c>
      <c r="M33" s="14">
        <v>4.7776080707363902E-2</v>
      </c>
      <c r="N33" s="15">
        <v>0.36697475223225601</v>
      </c>
      <c r="O33" s="15">
        <v>8.5339458163966996E-3</v>
      </c>
      <c r="P33" s="15">
        <v>7.1103108360798903E-2</v>
      </c>
      <c r="Q33" s="15">
        <v>1.6702642200636299E-2</v>
      </c>
      <c r="R33" s="15">
        <v>4.1031060816339997E-2</v>
      </c>
      <c r="S33" s="16">
        <v>7.9504899077649002E-2</v>
      </c>
    </row>
    <row r="34" spans="2:26">
      <c r="B34" s="2" t="s">
        <v>9</v>
      </c>
      <c r="C34" s="9">
        <v>9.2683657765842406E-2</v>
      </c>
      <c r="E34" s="2" t="s">
        <v>9</v>
      </c>
      <c r="F34" s="14">
        <v>4.2824322408129901E-4</v>
      </c>
      <c r="G34" s="15">
        <v>2.3081217243233199E-3</v>
      </c>
      <c r="H34" s="15">
        <v>6.8291351766502104E-4</v>
      </c>
      <c r="I34" s="15">
        <v>1.3504545393826701E-3</v>
      </c>
      <c r="J34" s="15">
        <v>2.7953213566203798E-3</v>
      </c>
      <c r="K34" s="15">
        <v>1.12952027321433E-3</v>
      </c>
      <c r="L34" s="16">
        <v>-1.49288730011319E-3</v>
      </c>
      <c r="M34" s="14">
        <v>2.1717834754169801E-3</v>
      </c>
      <c r="N34" s="15">
        <v>7.1597887373547897E-4</v>
      </c>
      <c r="O34" s="15">
        <v>6.8505805444524101E-2</v>
      </c>
      <c r="P34" s="15">
        <v>-6.1617667759344302E-4</v>
      </c>
      <c r="Q34" s="15">
        <v>1.06249174366454E-2</v>
      </c>
      <c r="R34" s="15">
        <v>4.3415718582100003E-3</v>
      </c>
      <c r="S34" s="16">
        <v>-2.69330622343106E-3</v>
      </c>
    </row>
    <row r="35" spans="2:26">
      <c r="B35" s="2" t="s">
        <v>10</v>
      </c>
      <c r="C35" s="9">
        <v>7.4347006034703095E-2</v>
      </c>
      <c r="E35" s="2" t="s">
        <v>10</v>
      </c>
      <c r="F35" s="14">
        <v>5.2763906954544498E-3</v>
      </c>
      <c r="G35" s="15">
        <v>3.6308283292819602E-3</v>
      </c>
      <c r="H35" s="15">
        <v>-3.9376790106783601E-4</v>
      </c>
      <c r="I35" s="15">
        <v>-2.18389786410342E-4</v>
      </c>
      <c r="J35" s="15">
        <v>1.7870627967296201E-3</v>
      </c>
      <c r="K35" s="15">
        <v>1.0145107295558699E-2</v>
      </c>
      <c r="L35" s="16">
        <v>3.4601601979008599E-2</v>
      </c>
      <c r="M35" s="14">
        <v>5.6739593864322804E-3</v>
      </c>
      <c r="N35" s="15">
        <v>4.8573308692465003E-3</v>
      </c>
      <c r="O35" s="15">
        <v>7.9599376850471998E-3</v>
      </c>
      <c r="P35" s="15">
        <v>-6.85569246833508E-3</v>
      </c>
      <c r="Q35" s="15">
        <v>-1.85377325126083E-3</v>
      </c>
      <c r="R35" s="15">
        <v>0.11994143703609</v>
      </c>
      <c r="S35" s="16">
        <v>1.6599085609855201E-2</v>
      </c>
    </row>
    <row r="36" spans="2:26">
      <c r="B36" s="2" t="s">
        <v>11</v>
      </c>
      <c r="C36" s="9">
        <v>2.2015558423844599E-2</v>
      </c>
      <c r="E36" s="2" t="s">
        <v>11</v>
      </c>
      <c r="F36" s="14">
        <v>1.1311847741901101E-4</v>
      </c>
      <c r="G36" s="15">
        <v>3.5260817651005399E-4</v>
      </c>
      <c r="H36" s="15">
        <v>2.0670601367960901E-4</v>
      </c>
      <c r="I36" s="15">
        <v>4.1787836017759799E-3</v>
      </c>
      <c r="J36" s="15">
        <v>4.3663951882746601E-3</v>
      </c>
      <c r="K36" s="15">
        <v>1.92850154646537E-4</v>
      </c>
      <c r="L36" s="16">
        <v>-1.30660910837738E-3</v>
      </c>
      <c r="M36" s="14">
        <v>3.5673120954519602E-4</v>
      </c>
      <c r="N36" s="15">
        <v>2.74063476377948E-4</v>
      </c>
      <c r="O36" s="15">
        <v>2.0479158502291901E-4</v>
      </c>
      <c r="P36" s="15">
        <v>1.2924735981037301E-3</v>
      </c>
      <c r="Q36" s="15">
        <v>-5.1469385806720397E-4</v>
      </c>
      <c r="R36" s="15">
        <v>-2.0207781220306801E-4</v>
      </c>
      <c r="S36" s="16">
        <v>1.3155710503089499E-3</v>
      </c>
    </row>
    <row r="37" spans="2:26">
      <c r="B37" s="2" t="s">
        <v>12</v>
      </c>
      <c r="C37" s="9">
        <v>5.1229536490832499E-2</v>
      </c>
      <c r="E37" s="2" t="s">
        <v>12</v>
      </c>
      <c r="F37" s="14">
        <v>-8.3029086270789402E-5</v>
      </c>
      <c r="G37" s="15">
        <v>2.4329996221480899E-3</v>
      </c>
      <c r="H37" s="15">
        <v>1.5086518017022701E-3</v>
      </c>
      <c r="I37" s="15">
        <v>8.1474314522958103E-3</v>
      </c>
      <c r="J37" s="15">
        <v>1.0770596860246499E-2</v>
      </c>
      <c r="K37" s="15">
        <v>-1.5767392840354601E-4</v>
      </c>
      <c r="L37" s="16">
        <v>5.7046956937316503E-4</v>
      </c>
      <c r="M37" s="14">
        <v>2.1136916570541702E-3</v>
      </c>
      <c r="N37" s="15">
        <v>2.64925242268868E-4</v>
      </c>
      <c r="O37" s="15">
        <v>3.5690077588397998E-2</v>
      </c>
      <c r="P37" s="15">
        <v>7.2654834095284998E-4</v>
      </c>
      <c r="Q37" s="15">
        <v>-2.5234115831993401E-3</v>
      </c>
      <c r="R37" s="15">
        <v>8.71458269321181E-4</v>
      </c>
      <c r="S37" s="16">
        <v>-3.4328866561506699E-4</v>
      </c>
    </row>
    <row r="38" spans="2:26">
      <c r="B38" s="3" t="s">
        <v>13</v>
      </c>
      <c r="C38" s="10">
        <v>3.3387290187160398E-2</v>
      </c>
      <c r="E38" s="3" t="s">
        <v>13</v>
      </c>
      <c r="F38" s="17">
        <v>-4.8920141254981699E-4</v>
      </c>
      <c r="G38" s="18">
        <v>2.3817776077362401E-3</v>
      </c>
      <c r="H38" s="18">
        <v>5.0702294071367404E-4</v>
      </c>
      <c r="I38" s="18">
        <v>5.8433089635560098E-2</v>
      </c>
      <c r="J38" s="18">
        <v>3.0191106587354201E-3</v>
      </c>
      <c r="K38" s="18">
        <v>-7.96807645734532E-4</v>
      </c>
      <c r="L38" s="19">
        <v>-1.5040310900077301E-3</v>
      </c>
      <c r="M38" s="17">
        <v>2.84353610725065E-3</v>
      </c>
      <c r="N38" s="18">
        <v>2.0112317258197399E-3</v>
      </c>
      <c r="O38" s="18">
        <v>3.6901139167655902E-3</v>
      </c>
      <c r="P38" s="18">
        <v>-5.3094750092724005E-4</v>
      </c>
      <c r="Q38" s="18">
        <v>-2.1551030119677699E-3</v>
      </c>
      <c r="R38" s="18">
        <v>-2.2540350058386301E-3</v>
      </c>
      <c r="S38" s="19">
        <v>-3.7351946564871102E-3</v>
      </c>
    </row>
    <row r="41" spans="2:26">
      <c r="E41" s="76" t="s">
        <v>33</v>
      </c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8"/>
    </row>
    <row r="43" spans="2:26">
      <c r="E43" s="40" t="s">
        <v>21</v>
      </c>
      <c r="F43" s="41" t="s">
        <v>0</v>
      </c>
      <c r="G43" s="42" t="s">
        <v>1</v>
      </c>
      <c r="H43" s="42" t="s">
        <v>2</v>
      </c>
      <c r="I43" s="42" t="s">
        <v>3</v>
      </c>
      <c r="J43" s="42" t="s">
        <v>4</v>
      </c>
      <c r="K43" s="42" t="s">
        <v>5</v>
      </c>
      <c r="L43" s="43" t="s">
        <v>6</v>
      </c>
      <c r="M43" s="41" t="s">
        <v>7</v>
      </c>
      <c r="N43" s="42" t="s">
        <v>8</v>
      </c>
      <c r="O43" s="42" t="s">
        <v>9</v>
      </c>
      <c r="P43" s="42" t="s">
        <v>10</v>
      </c>
      <c r="Q43" s="42" t="s">
        <v>11</v>
      </c>
      <c r="R43" s="42" t="s">
        <v>12</v>
      </c>
      <c r="S43" s="43" t="s">
        <v>13</v>
      </c>
    </row>
    <row r="44" spans="2:26">
      <c r="E44" s="44" t="s">
        <v>0</v>
      </c>
      <c r="F44" s="55">
        <v>49475</v>
      </c>
      <c r="G44" s="56">
        <v>21604</v>
      </c>
      <c r="H44" s="56">
        <v>5179</v>
      </c>
      <c r="I44" s="56">
        <v>3853</v>
      </c>
      <c r="J44" s="56">
        <v>1484</v>
      </c>
      <c r="K44" s="56">
        <v>1461</v>
      </c>
      <c r="L44" s="57">
        <v>835</v>
      </c>
      <c r="M44" s="55">
        <v>14797</v>
      </c>
      <c r="N44" s="56">
        <v>10151</v>
      </c>
      <c r="O44" s="56">
        <v>4032</v>
      </c>
      <c r="P44" s="56">
        <v>1477</v>
      </c>
      <c r="Q44" s="56">
        <v>719</v>
      </c>
      <c r="R44" s="56">
        <v>989</v>
      </c>
      <c r="S44" s="57">
        <v>508</v>
      </c>
      <c r="Y44" s="52" t="s">
        <v>37</v>
      </c>
      <c r="Z44" s="50">
        <f>Y22</f>
        <v>494426</v>
      </c>
    </row>
    <row r="45" spans="2:26">
      <c r="E45" s="45" t="s">
        <v>1</v>
      </c>
      <c r="F45" s="58">
        <v>21250</v>
      </c>
      <c r="G45" s="59">
        <v>27935</v>
      </c>
      <c r="H45" s="59">
        <v>3680</v>
      </c>
      <c r="I45" s="59">
        <v>1330</v>
      </c>
      <c r="J45" s="59">
        <v>415</v>
      </c>
      <c r="K45" s="59">
        <v>666</v>
      </c>
      <c r="L45" s="60">
        <v>655</v>
      </c>
      <c r="M45" s="58">
        <v>12365</v>
      </c>
      <c r="N45" s="59">
        <v>8345</v>
      </c>
      <c r="O45" s="59">
        <v>2781</v>
      </c>
      <c r="P45" s="59">
        <v>790</v>
      </c>
      <c r="Q45" s="59">
        <v>306</v>
      </c>
      <c r="R45" s="59">
        <v>638</v>
      </c>
      <c r="S45" s="60">
        <v>328</v>
      </c>
      <c r="Y45" s="52" t="s">
        <v>24</v>
      </c>
      <c r="Z45" s="50">
        <f>SUM(Y9,Y11:Y12,Y16,Y18:Y19)</f>
        <v>72469</v>
      </c>
    </row>
    <row r="46" spans="2:26">
      <c r="E46" s="45" t="s">
        <v>2</v>
      </c>
      <c r="F46" s="58">
        <v>4977</v>
      </c>
      <c r="G46" s="59">
        <v>4147</v>
      </c>
      <c r="H46" s="59">
        <v>5781</v>
      </c>
      <c r="I46" s="59">
        <v>350</v>
      </c>
      <c r="J46" s="59">
        <v>152</v>
      </c>
      <c r="K46" s="59">
        <v>305</v>
      </c>
      <c r="L46" s="60">
        <v>215</v>
      </c>
      <c r="M46" s="58">
        <v>4444</v>
      </c>
      <c r="N46" s="59">
        <v>3072</v>
      </c>
      <c r="O46" s="59">
        <v>1116</v>
      </c>
      <c r="P46" s="59">
        <v>546</v>
      </c>
      <c r="Q46" s="59">
        <v>385</v>
      </c>
      <c r="R46" s="59">
        <v>229</v>
      </c>
      <c r="S46" s="60">
        <v>76</v>
      </c>
      <c r="Y46" s="52" t="s">
        <v>30</v>
      </c>
      <c r="Z46" s="50">
        <v>35411</v>
      </c>
    </row>
    <row r="47" spans="2:26">
      <c r="E47" s="45" t="s">
        <v>3</v>
      </c>
      <c r="F47" s="58">
        <v>2007</v>
      </c>
      <c r="G47" s="59">
        <v>1124</v>
      </c>
      <c r="H47" s="59">
        <v>440</v>
      </c>
      <c r="I47" s="59">
        <v>339</v>
      </c>
      <c r="J47" s="59">
        <v>44</v>
      </c>
      <c r="K47" s="59">
        <v>1322</v>
      </c>
      <c r="L47" s="60">
        <v>743</v>
      </c>
      <c r="M47" s="58">
        <v>1419</v>
      </c>
      <c r="N47" s="59">
        <v>1065</v>
      </c>
      <c r="O47" s="59">
        <v>323</v>
      </c>
      <c r="P47" s="59">
        <v>239</v>
      </c>
      <c r="Q47" s="59">
        <v>49</v>
      </c>
      <c r="R47" s="59">
        <v>449</v>
      </c>
      <c r="S47" s="60">
        <v>253</v>
      </c>
      <c r="Y47" s="52" t="s">
        <v>28</v>
      </c>
      <c r="Z47" s="50">
        <v>58661</v>
      </c>
    </row>
    <row r="48" spans="2:26">
      <c r="E48" s="45" t="s">
        <v>4</v>
      </c>
      <c r="F48" s="58">
        <v>773</v>
      </c>
      <c r="G48" s="59">
        <v>633</v>
      </c>
      <c r="H48" s="59">
        <v>503</v>
      </c>
      <c r="I48" s="59">
        <v>61</v>
      </c>
      <c r="J48" s="59">
        <v>30</v>
      </c>
      <c r="K48" s="59">
        <v>41</v>
      </c>
      <c r="L48" s="60">
        <v>32</v>
      </c>
      <c r="M48" s="58">
        <v>750</v>
      </c>
      <c r="N48" s="59">
        <v>538</v>
      </c>
      <c r="O48" s="59">
        <v>224</v>
      </c>
      <c r="P48" s="59">
        <v>190</v>
      </c>
      <c r="Q48" s="59">
        <v>67</v>
      </c>
      <c r="R48" s="59">
        <v>29</v>
      </c>
      <c r="S48" s="60">
        <v>17</v>
      </c>
      <c r="Y48" s="52" t="s">
        <v>31</v>
      </c>
      <c r="Z48" s="81">
        <f>Z47/Z46</f>
        <v>1.6565756403377481</v>
      </c>
    </row>
    <row r="49" spans="5:26">
      <c r="E49" s="45" t="s">
        <v>5</v>
      </c>
      <c r="F49" s="58">
        <v>1363</v>
      </c>
      <c r="G49" s="59">
        <v>1009</v>
      </c>
      <c r="H49" s="59">
        <v>1075</v>
      </c>
      <c r="I49" s="59">
        <v>90</v>
      </c>
      <c r="J49" s="59">
        <v>41</v>
      </c>
      <c r="K49" s="59">
        <v>81</v>
      </c>
      <c r="L49" s="60">
        <v>55</v>
      </c>
      <c r="M49" s="58">
        <v>1127</v>
      </c>
      <c r="N49" s="59">
        <v>819</v>
      </c>
      <c r="O49" s="59">
        <v>287</v>
      </c>
      <c r="P49" s="59">
        <v>224</v>
      </c>
      <c r="Q49" s="59">
        <v>123</v>
      </c>
      <c r="R49" s="59">
        <v>61</v>
      </c>
      <c r="S49" s="60">
        <v>25</v>
      </c>
      <c r="Y49" s="52" t="s">
        <v>29</v>
      </c>
      <c r="Z49" s="82">
        <v>3.1204992798847815E-2</v>
      </c>
    </row>
    <row r="50" spans="5:26">
      <c r="E50" s="46" t="s">
        <v>6</v>
      </c>
      <c r="F50" s="61">
        <v>949</v>
      </c>
      <c r="G50" s="62">
        <v>899</v>
      </c>
      <c r="H50" s="62">
        <v>413</v>
      </c>
      <c r="I50" s="62">
        <v>72</v>
      </c>
      <c r="J50" s="62">
        <v>20</v>
      </c>
      <c r="K50" s="62">
        <v>46</v>
      </c>
      <c r="L50" s="63">
        <v>57</v>
      </c>
      <c r="M50" s="61">
        <v>869</v>
      </c>
      <c r="N50" s="62">
        <v>687</v>
      </c>
      <c r="O50" s="62">
        <v>237</v>
      </c>
      <c r="P50" s="62">
        <v>408</v>
      </c>
      <c r="Q50" s="62">
        <v>112</v>
      </c>
      <c r="R50" s="62">
        <v>40</v>
      </c>
      <c r="S50" s="63">
        <v>17</v>
      </c>
      <c r="Y50" s="52" t="s">
        <v>32</v>
      </c>
      <c r="Z50" s="50">
        <f>Z46*Z49</f>
        <v>1105</v>
      </c>
    </row>
    <row r="51" spans="5:26">
      <c r="E51" s="44" t="s">
        <v>7</v>
      </c>
      <c r="F51" s="64">
        <v>14781</v>
      </c>
      <c r="G51" s="65">
        <v>9694</v>
      </c>
      <c r="H51" s="65">
        <v>3864</v>
      </c>
      <c r="I51" s="65">
        <v>1351</v>
      </c>
      <c r="J51" s="65">
        <v>721</v>
      </c>
      <c r="K51" s="65">
        <v>976</v>
      </c>
      <c r="L51" s="66">
        <v>812</v>
      </c>
      <c r="M51" s="64">
        <v>47541</v>
      </c>
      <c r="N51" s="65">
        <v>21567</v>
      </c>
      <c r="O51" s="65">
        <v>5271</v>
      </c>
      <c r="P51" s="65">
        <v>3773</v>
      </c>
      <c r="Q51" s="65">
        <v>1430</v>
      </c>
      <c r="R51" s="65">
        <v>1390</v>
      </c>
      <c r="S51" s="66">
        <v>452</v>
      </c>
      <c r="Y51" s="52" t="s">
        <v>27</v>
      </c>
      <c r="Z51" s="74">
        <v>0.24420999537640284</v>
      </c>
    </row>
    <row r="52" spans="5:26">
      <c r="E52" s="45" t="s">
        <v>8</v>
      </c>
      <c r="F52" s="67">
        <v>12738</v>
      </c>
      <c r="G52" s="68">
        <v>8574</v>
      </c>
      <c r="H52" s="68">
        <v>2916</v>
      </c>
      <c r="I52" s="68">
        <v>879</v>
      </c>
      <c r="J52" s="68">
        <v>323</v>
      </c>
      <c r="K52" s="68">
        <v>638</v>
      </c>
      <c r="L52" s="69">
        <v>666</v>
      </c>
      <c r="M52" s="67">
        <v>20717</v>
      </c>
      <c r="N52" s="68">
        <v>28895</v>
      </c>
      <c r="O52" s="68">
        <v>3744</v>
      </c>
      <c r="P52" s="68">
        <v>1541</v>
      </c>
      <c r="Q52" s="68">
        <v>390</v>
      </c>
      <c r="R52" s="68">
        <v>658</v>
      </c>
      <c r="S52" s="69">
        <v>342</v>
      </c>
      <c r="Y52" s="52" t="s">
        <v>22</v>
      </c>
      <c r="Z52" s="74">
        <v>1.9886999418453086</v>
      </c>
    </row>
    <row r="53" spans="5:26">
      <c r="E53" s="45" t="s">
        <v>9</v>
      </c>
      <c r="F53" s="67">
        <v>4448</v>
      </c>
      <c r="G53" s="68">
        <v>2984</v>
      </c>
      <c r="H53" s="68">
        <v>1091</v>
      </c>
      <c r="I53" s="68">
        <v>490</v>
      </c>
      <c r="J53" s="68">
        <v>416</v>
      </c>
      <c r="K53" s="68">
        <v>228</v>
      </c>
      <c r="L53" s="69">
        <v>184</v>
      </c>
      <c r="M53" s="67">
        <v>5198</v>
      </c>
      <c r="N53" s="68">
        <v>4270</v>
      </c>
      <c r="O53" s="68">
        <v>6128</v>
      </c>
      <c r="P53" s="68">
        <v>341</v>
      </c>
      <c r="Q53" s="68">
        <v>155</v>
      </c>
      <c r="R53" s="68">
        <v>280</v>
      </c>
      <c r="S53" s="69">
        <v>110</v>
      </c>
      <c r="Y53" s="52" t="s">
        <v>23</v>
      </c>
      <c r="Z53" s="73">
        <v>6900</v>
      </c>
    </row>
    <row r="54" spans="5:26">
      <c r="E54" s="45" t="s">
        <v>10</v>
      </c>
      <c r="F54" s="67">
        <v>1542</v>
      </c>
      <c r="G54" s="68">
        <v>1083</v>
      </c>
      <c r="H54" s="68">
        <v>304</v>
      </c>
      <c r="I54" s="68">
        <v>260</v>
      </c>
      <c r="J54" s="68">
        <v>51</v>
      </c>
      <c r="K54" s="68">
        <v>499</v>
      </c>
      <c r="L54" s="69">
        <v>451</v>
      </c>
      <c r="M54" s="67">
        <v>1914</v>
      </c>
      <c r="N54" s="68">
        <v>1379</v>
      </c>
      <c r="O54" s="68">
        <v>428</v>
      </c>
      <c r="P54" s="68">
        <v>285</v>
      </c>
      <c r="Q54" s="68">
        <v>48</v>
      </c>
      <c r="R54" s="68">
        <v>1326</v>
      </c>
      <c r="S54" s="69">
        <v>433</v>
      </c>
      <c r="Y54" s="52" t="s">
        <v>25</v>
      </c>
      <c r="Z54" s="75">
        <f>Z53/(Y10+Y17)</f>
        <v>0.34815076441798276</v>
      </c>
    </row>
    <row r="55" spans="5:26">
      <c r="E55" s="45" t="s">
        <v>11</v>
      </c>
      <c r="F55" s="67">
        <v>780</v>
      </c>
      <c r="G55" s="68">
        <v>549</v>
      </c>
      <c r="H55" s="68">
        <v>178</v>
      </c>
      <c r="I55" s="68">
        <v>209</v>
      </c>
      <c r="J55" s="68">
        <v>66</v>
      </c>
      <c r="K55" s="68">
        <v>38</v>
      </c>
      <c r="L55" s="69">
        <v>31</v>
      </c>
      <c r="M55" s="67">
        <v>810</v>
      </c>
      <c r="N55" s="68">
        <v>576</v>
      </c>
      <c r="O55" s="68">
        <v>452</v>
      </c>
      <c r="P55" s="68">
        <v>75</v>
      </c>
      <c r="Q55" s="68">
        <v>50</v>
      </c>
      <c r="R55" s="68">
        <v>38</v>
      </c>
      <c r="S55" s="69">
        <v>23</v>
      </c>
    </row>
    <row r="56" spans="5:26">
      <c r="E56" s="45" t="s">
        <v>12</v>
      </c>
      <c r="F56" s="67">
        <v>1109</v>
      </c>
      <c r="G56" s="68">
        <v>874</v>
      </c>
      <c r="H56" s="68">
        <v>300</v>
      </c>
      <c r="I56" s="68">
        <v>208</v>
      </c>
      <c r="J56" s="68">
        <v>73</v>
      </c>
      <c r="K56" s="68">
        <v>59</v>
      </c>
      <c r="L56" s="69">
        <v>46</v>
      </c>
      <c r="M56" s="67">
        <v>1265</v>
      </c>
      <c r="N56" s="68">
        <v>1036</v>
      </c>
      <c r="O56" s="68">
        <v>1039</v>
      </c>
      <c r="P56" s="68">
        <v>83</v>
      </c>
      <c r="Q56" s="68">
        <v>28</v>
      </c>
      <c r="R56" s="68">
        <v>61</v>
      </c>
      <c r="S56" s="69">
        <v>27</v>
      </c>
    </row>
    <row r="57" spans="5:26">
      <c r="E57" s="46" t="s">
        <v>13</v>
      </c>
      <c r="F57" s="70">
        <v>372</v>
      </c>
      <c r="G57" s="71">
        <v>375</v>
      </c>
      <c r="H57" s="71">
        <v>71</v>
      </c>
      <c r="I57" s="71">
        <v>324</v>
      </c>
      <c r="J57" s="71">
        <v>52</v>
      </c>
      <c r="K57" s="71">
        <v>19</v>
      </c>
      <c r="L57" s="72">
        <v>44</v>
      </c>
      <c r="M57" s="70">
        <v>407</v>
      </c>
      <c r="N57" s="71">
        <v>622</v>
      </c>
      <c r="O57" s="71">
        <v>261</v>
      </c>
      <c r="P57" s="71">
        <v>31</v>
      </c>
      <c r="Q57" s="71">
        <v>13</v>
      </c>
      <c r="R57" s="71">
        <v>20</v>
      </c>
      <c r="S57" s="72">
        <v>8</v>
      </c>
    </row>
    <row r="59" spans="5:26">
      <c r="E59" s="76" t="s">
        <v>34</v>
      </c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8"/>
    </row>
    <row r="61" spans="5:26">
      <c r="E61" s="40" t="s">
        <v>21</v>
      </c>
      <c r="F61" s="203" t="s">
        <v>0</v>
      </c>
      <c r="G61" s="204" t="s">
        <v>1</v>
      </c>
      <c r="H61" s="204" t="s">
        <v>2</v>
      </c>
      <c r="I61" s="204" t="s">
        <v>3</v>
      </c>
      <c r="J61" s="204" t="s">
        <v>4</v>
      </c>
      <c r="K61" s="204" t="s">
        <v>5</v>
      </c>
      <c r="L61" s="205" t="s">
        <v>6</v>
      </c>
      <c r="M61" s="204" t="s">
        <v>7</v>
      </c>
      <c r="N61" s="204" t="s">
        <v>8</v>
      </c>
      <c r="O61" s="204" t="s">
        <v>9</v>
      </c>
      <c r="P61" s="204" t="s">
        <v>10</v>
      </c>
      <c r="Q61" s="204" t="s">
        <v>11</v>
      </c>
      <c r="R61" s="204" t="s">
        <v>12</v>
      </c>
      <c r="S61" s="205" t="s">
        <v>13</v>
      </c>
      <c r="U61" s="40" t="s">
        <v>16</v>
      </c>
      <c r="V61" s="40" t="s">
        <v>18</v>
      </c>
      <c r="X61" s="40" t="s">
        <v>16</v>
      </c>
      <c r="Y61" s="40" t="s">
        <v>19</v>
      </c>
    </row>
    <row r="62" spans="5:26">
      <c r="E62" s="206" t="s">
        <v>0</v>
      </c>
      <c r="F62" s="92">
        <v>53506</v>
      </c>
      <c r="G62" s="93">
        <v>21886</v>
      </c>
      <c r="H62" s="94">
        <v>4950</v>
      </c>
      <c r="I62" s="95">
        <v>2834</v>
      </c>
      <c r="J62" s="96">
        <v>544</v>
      </c>
      <c r="K62" s="97">
        <v>750</v>
      </c>
      <c r="L62" s="98">
        <v>320</v>
      </c>
      <c r="M62" s="99">
        <v>12281</v>
      </c>
      <c r="N62" s="100">
        <v>10079</v>
      </c>
      <c r="O62" s="101">
        <v>3780</v>
      </c>
      <c r="P62" s="102">
        <v>784</v>
      </c>
      <c r="Q62" s="103">
        <v>230</v>
      </c>
      <c r="R62" s="101">
        <v>432</v>
      </c>
      <c r="S62" s="98">
        <v>318</v>
      </c>
      <c r="U62" s="44" t="s">
        <v>0</v>
      </c>
      <c r="V62" s="8">
        <f>Y62/V$3</f>
        <v>3.3842042042042042</v>
      </c>
      <c r="X62" s="44" t="s">
        <v>0</v>
      </c>
      <c r="Y62" s="47">
        <f>SUM(F62:S62)</f>
        <v>112694</v>
      </c>
    </row>
    <row r="63" spans="5:26">
      <c r="E63" s="207" t="s">
        <v>1</v>
      </c>
      <c r="F63" s="104">
        <v>21244</v>
      </c>
      <c r="G63" s="105">
        <v>31499</v>
      </c>
      <c r="H63" s="106">
        <v>3666</v>
      </c>
      <c r="I63" s="107">
        <v>1066</v>
      </c>
      <c r="J63" s="108">
        <v>303</v>
      </c>
      <c r="K63" s="109">
        <v>879</v>
      </c>
      <c r="L63" s="110">
        <v>510</v>
      </c>
      <c r="M63" s="111">
        <v>12412</v>
      </c>
      <c r="N63" s="112">
        <v>6252</v>
      </c>
      <c r="O63" s="108">
        <v>1488</v>
      </c>
      <c r="P63" s="113"/>
      <c r="Q63" s="113"/>
      <c r="R63" s="114">
        <v>294</v>
      </c>
      <c r="S63" s="115">
        <v>226</v>
      </c>
      <c r="U63" s="45" t="s">
        <v>1</v>
      </c>
      <c r="V63" s="9">
        <f t="shared" ref="V63:V75" si="0">Y63/V$3</f>
        <v>2.3975675675675676</v>
      </c>
      <c r="X63" s="45" t="s">
        <v>1</v>
      </c>
      <c r="Y63" s="48">
        <f t="shared" ref="Y63:Y75" si="1">SUM(F63:S63)</f>
        <v>79839</v>
      </c>
    </row>
    <row r="64" spans="5:26">
      <c r="E64" s="207" t="s">
        <v>2</v>
      </c>
      <c r="F64" s="116">
        <v>5227</v>
      </c>
      <c r="G64" s="117">
        <v>3878</v>
      </c>
      <c r="H64" s="106">
        <v>6738</v>
      </c>
      <c r="I64" s="118">
        <v>55</v>
      </c>
      <c r="J64" s="119">
        <v>21</v>
      </c>
      <c r="K64" s="120">
        <v>158</v>
      </c>
      <c r="L64" s="121">
        <v>13</v>
      </c>
      <c r="M64" s="122">
        <v>4468</v>
      </c>
      <c r="N64" s="123">
        <v>2130</v>
      </c>
      <c r="O64" s="124">
        <v>743</v>
      </c>
      <c r="P64" s="125">
        <v>240</v>
      </c>
      <c r="Q64" s="126">
        <v>208</v>
      </c>
      <c r="R64" s="127">
        <v>14</v>
      </c>
      <c r="S64" s="128">
        <v>15</v>
      </c>
      <c r="U64" s="45" t="s">
        <v>2</v>
      </c>
      <c r="V64" s="9">
        <f t="shared" si="0"/>
        <v>0.71795795795795792</v>
      </c>
      <c r="X64" s="45" t="s">
        <v>2</v>
      </c>
      <c r="Y64" s="48">
        <f t="shared" si="1"/>
        <v>23908</v>
      </c>
    </row>
    <row r="65" spans="5:25">
      <c r="E65" s="207" t="s">
        <v>3</v>
      </c>
      <c r="F65" s="122">
        <v>1151</v>
      </c>
      <c r="G65" s="106">
        <v>982</v>
      </c>
      <c r="H65" s="129">
        <v>241</v>
      </c>
      <c r="I65" s="130">
        <v>1</v>
      </c>
      <c r="J65" s="113"/>
      <c r="K65" s="114">
        <v>1072</v>
      </c>
      <c r="L65" s="131">
        <v>414</v>
      </c>
      <c r="M65" s="132">
        <v>602</v>
      </c>
      <c r="N65" s="117">
        <v>796</v>
      </c>
      <c r="O65" s="133">
        <v>55</v>
      </c>
      <c r="P65" s="134">
        <v>5</v>
      </c>
      <c r="Q65" s="113"/>
      <c r="R65" s="135">
        <v>446</v>
      </c>
      <c r="S65" s="115">
        <v>367</v>
      </c>
      <c r="U65" s="45" t="s">
        <v>3</v>
      </c>
      <c r="V65" s="9">
        <f t="shared" si="0"/>
        <v>0.18414414414414415</v>
      </c>
      <c r="X65" s="45" t="s">
        <v>3</v>
      </c>
      <c r="Y65" s="48">
        <f t="shared" si="1"/>
        <v>6132</v>
      </c>
    </row>
    <row r="66" spans="5:25">
      <c r="E66" s="207" t="s">
        <v>4</v>
      </c>
      <c r="F66" s="136">
        <v>249</v>
      </c>
      <c r="G66" s="137">
        <v>285</v>
      </c>
      <c r="H66" s="138">
        <v>420</v>
      </c>
      <c r="I66" s="119">
        <v>1</v>
      </c>
      <c r="J66" s="113"/>
      <c r="K66" s="113"/>
      <c r="L66" s="139"/>
      <c r="M66" s="140">
        <v>170</v>
      </c>
      <c r="N66" s="141">
        <v>127</v>
      </c>
      <c r="O66" s="119">
        <v>14</v>
      </c>
      <c r="P66" s="118">
        <v>152</v>
      </c>
      <c r="Q66" s="130">
        <v>46</v>
      </c>
      <c r="R66" s="130"/>
      <c r="S66" s="139"/>
      <c r="U66" s="45" t="s">
        <v>4</v>
      </c>
      <c r="V66" s="9">
        <f t="shared" si="0"/>
        <v>4.3963963963963966E-2</v>
      </c>
      <c r="X66" s="45" t="s">
        <v>4</v>
      </c>
      <c r="Y66" s="48">
        <f t="shared" si="1"/>
        <v>1464</v>
      </c>
    </row>
    <row r="67" spans="5:25">
      <c r="E67" s="207" t="s">
        <v>5</v>
      </c>
      <c r="F67" s="132">
        <v>741</v>
      </c>
      <c r="G67" s="142">
        <v>956</v>
      </c>
      <c r="H67" s="114">
        <v>1072</v>
      </c>
      <c r="I67" s="143">
        <v>3</v>
      </c>
      <c r="J67" s="113"/>
      <c r="K67" s="130">
        <v>1</v>
      </c>
      <c r="L67" s="139"/>
      <c r="M67" s="144">
        <v>332</v>
      </c>
      <c r="N67" s="109">
        <v>421</v>
      </c>
      <c r="O67" s="145">
        <v>46</v>
      </c>
      <c r="P67" s="114">
        <v>427</v>
      </c>
      <c r="Q67" s="146">
        <v>119</v>
      </c>
      <c r="R67" s="113"/>
      <c r="S67" s="139"/>
      <c r="U67" s="45" t="s">
        <v>5</v>
      </c>
      <c r="V67" s="9">
        <f t="shared" si="0"/>
        <v>0.12366366366366366</v>
      </c>
      <c r="X67" s="45" t="s">
        <v>5</v>
      </c>
      <c r="Y67" s="48">
        <f t="shared" si="1"/>
        <v>4118</v>
      </c>
    </row>
    <row r="68" spans="5:25">
      <c r="E68" s="208" t="s">
        <v>6</v>
      </c>
      <c r="F68" s="147">
        <v>358</v>
      </c>
      <c r="G68" s="148">
        <v>595</v>
      </c>
      <c r="H68" s="149">
        <v>289</v>
      </c>
      <c r="I68" s="150"/>
      <c r="J68" s="151">
        <v>2</v>
      </c>
      <c r="K68" s="150">
        <v>1</v>
      </c>
      <c r="L68" s="152">
        <v>1</v>
      </c>
      <c r="M68" s="150"/>
      <c r="N68" s="153">
        <v>324</v>
      </c>
      <c r="O68" s="154">
        <v>6</v>
      </c>
      <c r="P68" s="155">
        <v>592</v>
      </c>
      <c r="Q68" s="156">
        <v>76</v>
      </c>
      <c r="R68" s="151"/>
      <c r="S68" s="152"/>
      <c r="U68" s="46" t="s">
        <v>6</v>
      </c>
      <c r="V68" s="10">
        <f t="shared" si="0"/>
        <v>6.7387387387387393E-2</v>
      </c>
      <c r="X68" s="46" t="s">
        <v>6</v>
      </c>
      <c r="Y68" s="49">
        <f t="shared" si="1"/>
        <v>2244</v>
      </c>
    </row>
    <row r="69" spans="5:25">
      <c r="E69" s="207" t="s">
        <v>7</v>
      </c>
      <c r="F69" s="157">
        <v>12115</v>
      </c>
      <c r="G69" s="158">
        <v>9732</v>
      </c>
      <c r="H69" s="97">
        <v>4008</v>
      </c>
      <c r="I69" s="102">
        <v>704</v>
      </c>
      <c r="J69" s="159">
        <v>219</v>
      </c>
      <c r="K69" s="101">
        <v>421</v>
      </c>
      <c r="L69" s="160">
        <v>298</v>
      </c>
      <c r="M69" s="161">
        <v>51684</v>
      </c>
      <c r="N69" s="93">
        <v>21948</v>
      </c>
      <c r="O69" s="162">
        <v>4803</v>
      </c>
      <c r="P69" s="163">
        <v>2855</v>
      </c>
      <c r="Q69" s="164">
        <v>547</v>
      </c>
      <c r="R69" s="165">
        <v>692</v>
      </c>
      <c r="S69" s="98">
        <v>311</v>
      </c>
      <c r="U69" s="44" t="s">
        <v>7</v>
      </c>
      <c r="V69" s="8">
        <f t="shared" si="0"/>
        <v>3.3134234234234232</v>
      </c>
      <c r="X69" s="44" t="s">
        <v>7</v>
      </c>
      <c r="Y69" s="47">
        <f t="shared" si="1"/>
        <v>110337</v>
      </c>
    </row>
    <row r="70" spans="5:25">
      <c r="E70" s="207" t="s">
        <v>8</v>
      </c>
      <c r="F70" s="166">
        <v>12850</v>
      </c>
      <c r="G70" s="167">
        <v>6366</v>
      </c>
      <c r="H70" s="108">
        <v>1614</v>
      </c>
      <c r="I70" s="113"/>
      <c r="J70" s="113"/>
      <c r="K70" s="114">
        <v>307</v>
      </c>
      <c r="L70" s="115">
        <v>269</v>
      </c>
      <c r="M70" s="168">
        <v>21093</v>
      </c>
      <c r="N70" s="169">
        <v>32638</v>
      </c>
      <c r="O70" s="109">
        <v>3404</v>
      </c>
      <c r="P70" s="170">
        <v>1203</v>
      </c>
      <c r="Q70" s="108">
        <v>278</v>
      </c>
      <c r="R70" s="108">
        <v>897</v>
      </c>
      <c r="S70" s="110">
        <v>470</v>
      </c>
      <c r="U70" s="45" t="s">
        <v>8</v>
      </c>
      <c r="V70" s="9">
        <f t="shared" si="0"/>
        <v>2.4441141141141141</v>
      </c>
      <c r="X70" s="45" t="s">
        <v>8</v>
      </c>
      <c r="Y70" s="48">
        <f t="shared" si="1"/>
        <v>81389</v>
      </c>
    </row>
    <row r="71" spans="5:25">
      <c r="E71" s="207" t="s">
        <v>9</v>
      </c>
      <c r="F71" s="132">
        <v>4081</v>
      </c>
      <c r="G71" s="123">
        <v>1960</v>
      </c>
      <c r="H71" s="171">
        <v>799</v>
      </c>
      <c r="I71" s="172">
        <v>272</v>
      </c>
      <c r="J71" s="173">
        <v>188</v>
      </c>
      <c r="K71" s="134">
        <v>21</v>
      </c>
      <c r="L71" s="174">
        <v>22</v>
      </c>
      <c r="M71" s="175">
        <v>5016</v>
      </c>
      <c r="N71" s="109">
        <v>3701</v>
      </c>
      <c r="O71" s="106">
        <v>7820</v>
      </c>
      <c r="P71" s="176">
        <v>94</v>
      </c>
      <c r="Q71" s="177">
        <v>19</v>
      </c>
      <c r="R71" s="178">
        <v>221</v>
      </c>
      <c r="S71" s="179">
        <v>16</v>
      </c>
      <c r="U71" s="45" t="s">
        <v>9</v>
      </c>
      <c r="V71" s="9">
        <f t="shared" si="0"/>
        <v>0.72762762762762767</v>
      </c>
      <c r="X71" s="45" t="s">
        <v>9</v>
      </c>
      <c r="Y71" s="48">
        <f t="shared" si="1"/>
        <v>24230</v>
      </c>
    </row>
    <row r="72" spans="5:25">
      <c r="E72" s="207" t="s">
        <v>10</v>
      </c>
      <c r="F72" s="132">
        <v>667</v>
      </c>
      <c r="G72" s="117">
        <v>868</v>
      </c>
      <c r="H72" s="180">
        <v>50</v>
      </c>
      <c r="I72" s="181">
        <v>4</v>
      </c>
      <c r="J72" s="113"/>
      <c r="K72" s="182">
        <v>506</v>
      </c>
      <c r="L72" s="183">
        <v>395</v>
      </c>
      <c r="M72" s="175">
        <v>1120</v>
      </c>
      <c r="N72" s="106">
        <v>1094</v>
      </c>
      <c r="O72" s="184">
        <v>244</v>
      </c>
      <c r="P72" s="113">
        <v>4</v>
      </c>
      <c r="Q72" s="113"/>
      <c r="R72" s="108">
        <v>961</v>
      </c>
      <c r="S72" s="185">
        <v>448</v>
      </c>
      <c r="U72" s="45" t="s">
        <v>10</v>
      </c>
      <c r="V72" s="9">
        <f t="shared" si="0"/>
        <v>0.19102102102102103</v>
      </c>
      <c r="X72" s="45" t="s">
        <v>10</v>
      </c>
      <c r="Y72" s="48">
        <f t="shared" si="1"/>
        <v>6361</v>
      </c>
    </row>
    <row r="73" spans="5:25">
      <c r="E73" s="207" t="s">
        <v>11</v>
      </c>
      <c r="F73" s="186">
        <v>174</v>
      </c>
      <c r="G73" s="187">
        <v>157</v>
      </c>
      <c r="H73" s="134">
        <v>11</v>
      </c>
      <c r="I73" s="118">
        <v>183</v>
      </c>
      <c r="J73" s="113">
        <v>49</v>
      </c>
      <c r="K73" s="130"/>
      <c r="L73" s="139"/>
      <c r="M73" s="188">
        <v>219</v>
      </c>
      <c r="N73" s="189">
        <v>295</v>
      </c>
      <c r="O73" s="190">
        <v>429</v>
      </c>
      <c r="P73" s="143">
        <v>1</v>
      </c>
      <c r="Q73" s="113"/>
      <c r="R73" s="191">
        <v>4</v>
      </c>
      <c r="S73" s="192">
        <v>1</v>
      </c>
      <c r="U73" s="45" t="s">
        <v>11</v>
      </c>
      <c r="V73" s="9">
        <f t="shared" si="0"/>
        <v>4.5735735735735736E-2</v>
      </c>
      <c r="X73" s="45" t="s">
        <v>11</v>
      </c>
      <c r="Y73" s="48">
        <f t="shared" si="1"/>
        <v>1523</v>
      </c>
    </row>
    <row r="74" spans="5:25">
      <c r="E74" s="207" t="s">
        <v>12</v>
      </c>
      <c r="F74" s="193">
        <v>332</v>
      </c>
      <c r="G74" s="109">
        <v>349</v>
      </c>
      <c r="H74" s="125">
        <v>40</v>
      </c>
      <c r="I74" s="114">
        <v>461</v>
      </c>
      <c r="J74" s="194">
        <v>66</v>
      </c>
      <c r="K74" s="191">
        <v>2</v>
      </c>
      <c r="L74" s="192">
        <v>1</v>
      </c>
      <c r="M74" s="132">
        <v>661</v>
      </c>
      <c r="N74" s="195">
        <v>943</v>
      </c>
      <c r="O74" s="114">
        <v>1107</v>
      </c>
      <c r="P74" s="196">
        <v>3</v>
      </c>
      <c r="Q74" s="113"/>
      <c r="R74" s="196">
        <v>3</v>
      </c>
      <c r="S74" s="139"/>
      <c r="U74" s="45" t="s">
        <v>12</v>
      </c>
      <c r="V74" s="9">
        <f t="shared" si="0"/>
        <v>0.11915915915915916</v>
      </c>
      <c r="X74" s="45" t="s">
        <v>12</v>
      </c>
      <c r="Y74" s="48">
        <f t="shared" si="1"/>
        <v>3968</v>
      </c>
    </row>
    <row r="75" spans="5:25">
      <c r="E75" s="208" t="s">
        <v>13</v>
      </c>
      <c r="F75" s="150"/>
      <c r="G75" s="153">
        <v>326</v>
      </c>
      <c r="H75" s="154">
        <v>10</v>
      </c>
      <c r="I75" s="197">
        <v>548</v>
      </c>
      <c r="J75" s="198">
        <v>72</v>
      </c>
      <c r="K75" s="151"/>
      <c r="L75" s="199">
        <v>1</v>
      </c>
      <c r="M75" s="147">
        <v>279</v>
      </c>
      <c r="N75" s="200">
        <v>641</v>
      </c>
      <c r="O75" s="201">
        <v>291</v>
      </c>
      <c r="P75" s="202">
        <v>1</v>
      </c>
      <c r="Q75" s="150"/>
      <c r="R75" s="150">
        <v>3</v>
      </c>
      <c r="S75" s="199"/>
      <c r="U75" s="46" t="s">
        <v>13</v>
      </c>
      <c r="V75" s="10">
        <f t="shared" si="0"/>
        <v>6.5225225225225225E-2</v>
      </c>
      <c r="X75" s="46" t="s">
        <v>13</v>
      </c>
      <c r="Y75" s="49">
        <f t="shared" si="1"/>
        <v>2172</v>
      </c>
    </row>
    <row r="77" spans="5:25">
      <c r="E77" s="76" t="s">
        <v>35</v>
      </c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8"/>
      <c r="V77" s="54">
        <f>Y77/V$3</f>
        <v>13.825195195195196</v>
      </c>
      <c r="X77" s="53" t="s">
        <v>20</v>
      </c>
      <c r="Y77" s="51">
        <f>SUM(Y62:Y75)</f>
        <v>460379</v>
      </c>
    </row>
    <row r="79" spans="5:25">
      <c r="E79" s="40" t="s">
        <v>21</v>
      </c>
      <c r="F79" s="41" t="s">
        <v>0</v>
      </c>
      <c r="G79" s="42" t="s">
        <v>1</v>
      </c>
      <c r="H79" s="42" t="s">
        <v>2</v>
      </c>
      <c r="I79" s="42" t="s">
        <v>3</v>
      </c>
      <c r="J79" s="42" t="s">
        <v>4</v>
      </c>
      <c r="K79" s="42" t="s">
        <v>5</v>
      </c>
      <c r="L79" s="43" t="s">
        <v>6</v>
      </c>
      <c r="M79" s="41" t="s">
        <v>7</v>
      </c>
      <c r="N79" s="42" t="s">
        <v>8</v>
      </c>
      <c r="O79" s="42" t="s">
        <v>9</v>
      </c>
      <c r="P79" s="42" t="s">
        <v>10</v>
      </c>
      <c r="Q79" s="42" t="s">
        <v>11</v>
      </c>
      <c r="R79" s="42" t="s">
        <v>12</v>
      </c>
      <c r="S79" s="43" t="s">
        <v>13</v>
      </c>
    </row>
    <row r="80" spans="5:25">
      <c r="E80" s="44" t="s">
        <v>0</v>
      </c>
      <c r="F80" s="29">
        <v>3.5349284997914614E-2</v>
      </c>
      <c r="G80" s="31">
        <v>5.229744762448741E-2</v>
      </c>
      <c r="H80" s="31">
        <v>8.9927382107299572E-2</v>
      </c>
      <c r="I80" s="31">
        <v>4.2001461104728785E-2</v>
      </c>
      <c r="J80" s="31">
        <v>4.1823326077458263E-2</v>
      </c>
      <c r="K80" s="31">
        <v>5.803556777231942E-2</v>
      </c>
      <c r="L80" s="33">
        <v>8.9952125344323466E-2</v>
      </c>
      <c r="M80" s="29">
        <v>0.11224926453765173</v>
      </c>
      <c r="N80" s="31">
        <v>0.10980183460223514</v>
      </c>
      <c r="O80" s="31">
        <v>0.11331726108752907</v>
      </c>
      <c r="P80" s="31">
        <v>9.5401457406149553E-2</v>
      </c>
      <c r="Q80" s="31">
        <v>8.7071777430842254E-2</v>
      </c>
      <c r="R80" s="31">
        <v>8.1534331831504964E-2</v>
      </c>
      <c r="S80" s="33">
        <v>7.8812521616325154E-2</v>
      </c>
    </row>
    <row r="81" spans="5:19">
      <c r="E81" s="45" t="s">
        <v>1</v>
      </c>
      <c r="F81" s="32">
        <v>5.7008304600223499E-2</v>
      </c>
      <c r="G81" s="30">
        <v>2.7145536686942615E-2</v>
      </c>
      <c r="H81" s="30">
        <v>9.2610177704238753E-2</v>
      </c>
      <c r="I81" s="30">
        <v>6.2591613097308735E-2</v>
      </c>
      <c r="J81" s="30">
        <v>9.5808529954572813E-2</v>
      </c>
      <c r="K81" s="30">
        <v>0.10757495377450212</v>
      </c>
      <c r="L81" s="34">
        <v>7.5117219118752049E-2</v>
      </c>
      <c r="M81" s="32">
        <v>9.2850258730534513E-2</v>
      </c>
      <c r="N81" s="30">
        <v>9.3440362514459779E-2</v>
      </c>
      <c r="O81" s="30">
        <v>0.11327098421677143</v>
      </c>
      <c r="P81" s="30">
        <v>0.11409687914727054</v>
      </c>
      <c r="Q81" s="30">
        <v>0.13049209584061289</v>
      </c>
      <c r="R81" s="30">
        <v>9.3826783461699745E-2</v>
      </c>
      <c r="S81" s="34">
        <v>8.182559408512767E-2</v>
      </c>
    </row>
    <row r="82" spans="5:19">
      <c r="E82" s="45" t="s">
        <v>2</v>
      </c>
      <c r="F82" s="32">
        <v>0.11421581007221074</v>
      </c>
      <c r="G82" s="30">
        <v>9.3154928555220257E-2</v>
      </c>
      <c r="H82" s="30">
        <v>2.9970810528062417E-2</v>
      </c>
      <c r="I82" s="30">
        <v>0.12367528619867171</v>
      </c>
      <c r="J82" s="30">
        <v>0.11516873766414043</v>
      </c>
      <c r="K82" s="30">
        <v>9.89706282214219E-2</v>
      </c>
      <c r="L82" s="34">
        <v>0.1261411625532704</v>
      </c>
      <c r="M82" s="32">
        <v>0.12077302367819219</v>
      </c>
      <c r="N82" s="30">
        <v>0.12324073959468783</v>
      </c>
      <c r="O82" s="30">
        <v>0.14881048424752444</v>
      </c>
      <c r="P82" s="30">
        <v>8.4003969294806718E-2</v>
      </c>
      <c r="Q82" s="30">
        <v>5.4828354303729218E-2</v>
      </c>
      <c r="R82" s="30">
        <v>0.1456697556542263</v>
      </c>
      <c r="S82" s="34">
        <v>0.12434491011604853</v>
      </c>
    </row>
    <row r="83" spans="5:19">
      <c r="E83" s="45" t="s">
        <v>3</v>
      </c>
      <c r="F83" s="32">
        <v>7.4691776024306003E-2</v>
      </c>
      <c r="G83" s="30">
        <v>7.4576973075573885E-2</v>
      </c>
      <c r="H83" s="30">
        <v>9.1996465458448667E-2</v>
      </c>
      <c r="I83" s="30">
        <v>3.9725937085983216E-2</v>
      </c>
      <c r="J83" s="30">
        <v>0.15460838515453837</v>
      </c>
      <c r="K83" s="30">
        <v>5.6406581997651209E-3</v>
      </c>
      <c r="L83" s="34">
        <v>7.8972890286507016E-3</v>
      </c>
      <c r="M83" s="32">
        <v>0.1023616221322831</v>
      </c>
      <c r="N83" s="30">
        <v>8.8543252217770971E-2</v>
      </c>
      <c r="O83" s="30">
        <v>0.12941146264604159</v>
      </c>
      <c r="P83" s="30">
        <v>4.9492499162440987E-2</v>
      </c>
      <c r="Q83" s="30">
        <v>0.12880876907072944</v>
      </c>
      <c r="R83" s="30">
        <v>1.4112285392559291E-2</v>
      </c>
      <c r="S83" s="34">
        <v>1.7541367117102167E-2</v>
      </c>
    </row>
    <row r="84" spans="5:19">
      <c r="E84" s="45" t="s">
        <v>4</v>
      </c>
      <c r="F84" s="32">
        <v>0.11817910080743312</v>
      </c>
      <c r="G84" s="30">
        <v>9.4534198729694152E-2</v>
      </c>
      <c r="H84" s="30">
        <v>6.4417907795778162E-2</v>
      </c>
      <c r="I84" s="30">
        <v>0.15241245428954711</v>
      </c>
      <c r="J84" s="30">
        <v>0.10677792981545811</v>
      </c>
      <c r="K84" s="30">
        <v>0.13306948976076999</v>
      </c>
      <c r="L84" s="34">
        <v>0.13215425167919648</v>
      </c>
      <c r="M84" s="32">
        <v>0.12660986693877752</v>
      </c>
      <c r="N84" s="30">
        <v>0.10899513767586763</v>
      </c>
      <c r="O84" s="30">
        <v>0.12511143199876104</v>
      </c>
      <c r="P84" s="30">
        <v>5.2424761544394169E-2</v>
      </c>
      <c r="Q84" s="30">
        <v>5.1018912968006862E-2</v>
      </c>
      <c r="R84" s="30">
        <v>0.14844947323526944</v>
      </c>
      <c r="S84" s="34">
        <v>0.14764422704173547</v>
      </c>
    </row>
    <row r="85" spans="5:19">
      <c r="E85" s="45" t="s">
        <v>5</v>
      </c>
      <c r="F85" s="32">
        <v>0.11623514774407165</v>
      </c>
      <c r="G85" s="30">
        <v>9.1411540838215233E-2</v>
      </c>
      <c r="H85" s="30">
        <v>3.866890069072642E-2</v>
      </c>
      <c r="I85" s="30">
        <v>9.5505017371184581E-2</v>
      </c>
      <c r="J85" s="30">
        <v>0.1346705897436338</v>
      </c>
      <c r="K85" s="30">
        <v>0.12081786241887085</v>
      </c>
      <c r="L85" s="34">
        <v>0.15664342662580824</v>
      </c>
      <c r="M85" s="32">
        <v>0.12710193235635914</v>
      </c>
      <c r="N85" s="30">
        <v>0.11425459971937298</v>
      </c>
      <c r="O85" s="30">
        <v>0.14604846772895214</v>
      </c>
      <c r="P85" s="30">
        <v>6.0871150623006312E-2</v>
      </c>
      <c r="Q85" s="30">
        <v>3.9614235903903457E-2</v>
      </c>
      <c r="R85" s="30">
        <v>0.17419269054028297</v>
      </c>
      <c r="S85" s="34">
        <v>0.17146734043026299</v>
      </c>
    </row>
    <row r="86" spans="5:19">
      <c r="E86" s="46" t="s">
        <v>6</v>
      </c>
      <c r="F86" s="37">
        <v>0.12005682650076695</v>
      </c>
      <c r="G86" s="36">
        <v>7.5698316649403616E-2</v>
      </c>
      <c r="H86" s="36">
        <v>7.504613260477519E-2</v>
      </c>
      <c r="I86" s="36">
        <v>0.1461531417018086</v>
      </c>
      <c r="J86" s="36">
        <v>7.5086285378677078E-2</v>
      </c>
      <c r="K86" s="36">
        <v>0.14454551730830684</v>
      </c>
      <c r="L86" s="35">
        <v>0.14176430644163437</v>
      </c>
      <c r="M86" s="37">
        <v>0.12417192937554601</v>
      </c>
      <c r="N86" s="36">
        <v>0.10326302133282306</v>
      </c>
      <c r="O86" s="36">
        <v>0.14918991137692569</v>
      </c>
      <c r="P86" s="36">
        <v>2.6640231210400277E-2</v>
      </c>
      <c r="Q86" s="36">
        <v>4.2449244344671851E-2</v>
      </c>
      <c r="R86" s="36">
        <v>0.11683678184620874</v>
      </c>
      <c r="S86" s="35">
        <v>0.14253364074356262</v>
      </c>
    </row>
    <row r="87" spans="5:19">
      <c r="E87" s="44" t="s">
        <v>7</v>
      </c>
      <c r="F87" s="11">
        <v>0.11126162248419916</v>
      </c>
      <c r="G87" s="12">
        <v>0.11077157981106654</v>
      </c>
      <c r="H87" s="12">
        <v>0.12079950591752904</v>
      </c>
      <c r="I87" s="12">
        <v>9.4897789521845313E-2</v>
      </c>
      <c r="J87" s="12">
        <v>8.7438487246140964E-2</v>
      </c>
      <c r="K87" s="12">
        <v>8.3030886295272846E-2</v>
      </c>
      <c r="L87" s="13">
        <v>9.5300052299092081E-2</v>
      </c>
      <c r="M87" s="11">
        <v>3.4688400734355355E-2</v>
      </c>
      <c r="N87" s="12">
        <v>4.9450836324300106E-2</v>
      </c>
      <c r="O87" s="12">
        <v>8.4838828107063072E-2</v>
      </c>
      <c r="P87" s="12">
        <v>3.6076695107152841E-2</v>
      </c>
      <c r="Q87" s="12">
        <v>4.1106787005846496E-2</v>
      </c>
      <c r="R87" s="12">
        <v>6.307142797341736E-2</v>
      </c>
      <c r="S87" s="13">
        <v>6.9528361746073256E-2</v>
      </c>
    </row>
    <row r="88" spans="5:19">
      <c r="E88" s="45" t="s">
        <v>8</v>
      </c>
      <c r="F88" s="14">
        <v>9.5974135008296865E-2</v>
      </c>
      <c r="G88" s="15">
        <v>9.0942552203637506E-2</v>
      </c>
      <c r="H88" s="15">
        <v>0.10906140935991396</v>
      </c>
      <c r="I88" s="15">
        <v>0.10731799165106994</v>
      </c>
      <c r="J88" s="15">
        <v>0.12200489019421171</v>
      </c>
      <c r="K88" s="15">
        <v>0.10981598047538597</v>
      </c>
      <c r="L88" s="16">
        <v>8.308533760751162E-2</v>
      </c>
      <c r="M88" s="14">
        <v>5.8452870417070771E-2</v>
      </c>
      <c r="N88" s="15">
        <v>2.7884311079242306E-2</v>
      </c>
      <c r="O88" s="15">
        <v>9.2920196848804787E-2</v>
      </c>
      <c r="P88" s="15">
        <v>6.5844625886769995E-2</v>
      </c>
      <c r="Q88" s="15">
        <v>9.7047407266313571E-2</v>
      </c>
      <c r="R88" s="15">
        <v>8.7157650133427092E-2</v>
      </c>
      <c r="S88" s="16">
        <v>7.8232246230260871E-2</v>
      </c>
    </row>
    <row r="89" spans="5:19">
      <c r="E89" s="45" t="s">
        <v>9</v>
      </c>
      <c r="F89" s="14">
        <v>0.12543278426663232</v>
      </c>
      <c r="G89" s="15">
        <v>0.12107516177983481</v>
      </c>
      <c r="H89" s="15">
        <v>0.14071591773007314</v>
      </c>
      <c r="I89" s="15">
        <v>8.8324275339077385E-2</v>
      </c>
      <c r="J89" s="15">
        <v>5.527833129158017E-2</v>
      </c>
      <c r="K89" s="15">
        <v>0.13339410942979188</v>
      </c>
      <c r="L89" s="16">
        <v>0.1355819935884186</v>
      </c>
      <c r="M89" s="14">
        <v>0.10593309843821165</v>
      </c>
      <c r="N89" s="15">
        <v>9.2925155796703102E-2</v>
      </c>
      <c r="O89" s="15">
        <v>2.5511929950207953E-2</v>
      </c>
      <c r="P89" s="15">
        <v>0.11830375633508591</v>
      </c>
      <c r="Q89" s="15">
        <v>0.13212833459460158</v>
      </c>
      <c r="R89" s="15">
        <v>9.3093368945685387E-2</v>
      </c>
      <c r="S89" s="16">
        <v>9.6745418563784824E-2</v>
      </c>
    </row>
    <row r="90" spans="5:19">
      <c r="E90" s="45" t="s">
        <v>10</v>
      </c>
      <c r="F90" s="14">
        <v>0.10177412701570276</v>
      </c>
      <c r="G90" s="15">
        <v>9.3349930575084783E-2</v>
      </c>
      <c r="H90" s="15">
        <v>0.12529514287577237</v>
      </c>
      <c r="I90" s="15">
        <v>4.5334131833193132E-2</v>
      </c>
      <c r="J90" s="15">
        <v>0.1393781859365292</v>
      </c>
      <c r="K90" s="15">
        <v>1.5054760895169526E-2</v>
      </c>
      <c r="L90" s="16">
        <v>1.4733259719249764E-2</v>
      </c>
      <c r="M90" s="14">
        <v>7.6713453048828567E-2</v>
      </c>
      <c r="N90" s="15">
        <v>7.0909426407061146E-2</v>
      </c>
      <c r="O90" s="15">
        <v>9.9127420796530613E-2</v>
      </c>
      <c r="P90" s="15">
        <v>3.5409651139011462E-2</v>
      </c>
      <c r="Q90" s="15">
        <v>0.14198820340231796</v>
      </c>
      <c r="R90" s="15">
        <v>5.9736423583025781E-3</v>
      </c>
      <c r="S90" s="16">
        <v>6.9498936473137317E-3</v>
      </c>
    </row>
    <row r="91" spans="5:19">
      <c r="E91" s="45" t="s">
        <v>11</v>
      </c>
      <c r="F91" s="14">
        <v>0.11856543467237685</v>
      </c>
      <c r="G91" s="15">
        <v>0.11880102373666111</v>
      </c>
      <c r="H91" s="15">
        <v>0.138615573696314</v>
      </c>
      <c r="I91" s="15">
        <v>4.7301877689874837E-2</v>
      </c>
      <c r="J91" s="15">
        <v>4.704604358958487E-2</v>
      </c>
      <c r="K91" s="15">
        <v>0.1333222906254509</v>
      </c>
      <c r="L91" s="16">
        <v>0.10521973698197114</v>
      </c>
      <c r="M91" s="14">
        <v>0.11984885347381861</v>
      </c>
      <c r="N91" s="15">
        <v>0.10781424910004613</v>
      </c>
      <c r="O91" s="15">
        <v>6.7123377368433046E-2</v>
      </c>
      <c r="P91" s="15">
        <v>0.12496792292108087</v>
      </c>
      <c r="Q91" s="15">
        <v>7.7904890312620406E-2</v>
      </c>
      <c r="R91" s="15">
        <v>0.1656699952642085</v>
      </c>
      <c r="S91" s="16">
        <v>0.14985202839826026</v>
      </c>
    </row>
    <row r="92" spans="5:19">
      <c r="E92" s="45" t="s">
        <v>12</v>
      </c>
      <c r="F92" s="14">
        <v>0.12703458724693081</v>
      </c>
      <c r="G92" s="15">
        <v>0.11185040777015562</v>
      </c>
      <c r="H92" s="15">
        <v>0.13333108580383715</v>
      </c>
      <c r="I92" s="15">
        <v>6.65284760509747E-2</v>
      </c>
      <c r="J92" s="15">
        <v>7.526525540368674E-2</v>
      </c>
      <c r="K92" s="15">
        <v>0.16049356504033113</v>
      </c>
      <c r="L92" s="16">
        <v>0.15136485063486985</v>
      </c>
      <c r="M92" s="14">
        <v>0.11372893196581031</v>
      </c>
      <c r="N92" s="15">
        <v>9.6673124715206435E-2</v>
      </c>
      <c r="O92" s="15">
        <v>3.5909685910508748E-2</v>
      </c>
      <c r="P92" s="15">
        <v>0.13842310257738594</v>
      </c>
      <c r="Q92" s="15">
        <v>0.14234731420923805</v>
      </c>
      <c r="R92" s="15">
        <v>0.15105118024136394</v>
      </c>
      <c r="S92" s="16">
        <v>0.12935190535023577</v>
      </c>
    </row>
    <row r="93" spans="5:19">
      <c r="E93" s="46" t="s">
        <v>13</v>
      </c>
      <c r="F93" s="17">
        <v>0.10344241954589985</v>
      </c>
      <c r="G93" s="18">
        <v>7.0496660200144945E-2</v>
      </c>
      <c r="H93" s="18">
        <v>0.17197723445555307</v>
      </c>
      <c r="I93" s="18">
        <v>4.6933863614687203E-3</v>
      </c>
      <c r="J93" s="18">
        <v>1.7326205725300251E-2</v>
      </c>
      <c r="K93" s="18">
        <v>0.12938594300991207</v>
      </c>
      <c r="L93" s="19">
        <v>4.6551930623429237E-2</v>
      </c>
      <c r="M93" s="17">
        <v>9.2506646205168006E-2</v>
      </c>
      <c r="N93" s="18">
        <v>4.489617612657841E-2</v>
      </c>
      <c r="O93" s="18">
        <v>3.37512007329916E-2</v>
      </c>
      <c r="P93" s="18">
        <v>0.11140909541692171</v>
      </c>
      <c r="Q93" s="18">
        <v>0.12062003948547219</v>
      </c>
      <c r="R93" s="18">
        <v>7.2410571945692934E-2</v>
      </c>
      <c r="S93" s="19">
        <v>5.9052608196395795E-2</v>
      </c>
    </row>
    <row r="95" spans="5:19">
      <c r="E95" s="76" t="s">
        <v>36</v>
      </c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8"/>
    </row>
    <row r="97" spans="5:19">
      <c r="E97" s="40" t="s">
        <v>21</v>
      </c>
      <c r="F97" s="41" t="s">
        <v>0</v>
      </c>
      <c r="G97" s="42" t="s">
        <v>1</v>
      </c>
      <c r="H97" s="42" t="s">
        <v>2</v>
      </c>
      <c r="I97" s="42" t="s">
        <v>3</v>
      </c>
      <c r="J97" s="42" t="s">
        <v>4</v>
      </c>
      <c r="K97" s="42" t="s">
        <v>5</v>
      </c>
      <c r="L97" s="43" t="s">
        <v>6</v>
      </c>
      <c r="M97" s="41" t="s">
        <v>7</v>
      </c>
      <c r="N97" s="42" t="s">
        <v>8</v>
      </c>
      <c r="O97" s="42" t="s">
        <v>9</v>
      </c>
      <c r="P97" s="42" t="s">
        <v>10</v>
      </c>
      <c r="Q97" s="42" t="s">
        <v>11</v>
      </c>
      <c r="R97" s="42" t="s">
        <v>12</v>
      </c>
      <c r="S97" s="43" t="s">
        <v>13</v>
      </c>
    </row>
    <row r="98" spans="5:19">
      <c r="E98" s="44" t="s">
        <v>0</v>
      </c>
      <c r="F98" s="29">
        <v>5.8729990281492402E-2</v>
      </c>
      <c r="G98" s="31">
        <v>4.8185387005379797E-2</v>
      </c>
      <c r="H98" s="31">
        <v>8.9877016161611603E-2</v>
      </c>
      <c r="I98" s="31">
        <v>7.2075370501057598E-3</v>
      </c>
      <c r="J98" s="31">
        <v>1.60658088235291E-3</v>
      </c>
      <c r="K98" s="31">
        <v>3.8641466666666699E-3</v>
      </c>
      <c r="L98" s="33">
        <v>1.65284375E-2</v>
      </c>
      <c r="M98" s="29">
        <v>0.17774087370734901</v>
      </c>
      <c r="N98" s="31">
        <v>0.14029916162317099</v>
      </c>
      <c r="O98" s="31">
        <v>0.115857092592591</v>
      </c>
      <c r="P98" s="31">
        <v>1.29945663265305E-2</v>
      </c>
      <c r="Q98" s="31">
        <v>4.61999999999998E-4</v>
      </c>
      <c r="R98" s="31">
        <v>6.3178935185185204E-3</v>
      </c>
      <c r="S98" s="33">
        <v>9.5833018867924492E-3</v>
      </c>
    </row>
    <row r="99" spans="5:19">
      <c r="E99" s="45" t="s">
        <v>1</v>
      </c>
      <c r="F99" s="32">
        <v>6.33967110713506E-2</v>
      </c>
      <c r="G99" s="30">
        <v>2.6290711451146299E-2</v>
      </c>
      <c r="H99" s="30">
        <v>6.7454380796510297E-2</v>
      </c>
      <c r="I99" s="30">
        <v>2.6207786116322698E-3</v>
      </c>
      <c r="J99" s="30">
        <v>9.3227722772277295E-4</v>
      </c>
      <c r="K99" s="30">
        <v>1.11114903299203E-3</v>
      </c>
      <c r="L99" s="34">
        <v>1.8174117647058699E-3</v>
      </c>
      <c r="M99" s="32">
        <v>0.12927619722848199</v>
      </c>
      <c r="N99" s="30">
        <v>8.20942066538662E-2</v>
      </c>
      <c r="O99" s="30">
        <v>0.102539442204302</v>
      </c>
      <c r="P99" s="30"/>
      <c r="Q99" s="30"/>
      <c r="R99" s="30">
        <v>1.90636054421767E-3</v>
      </c>
      <c r="S99" s="34">
        <v>4.4486725663716699E-3</v>
      </c>
    </row>
    <row r="100" spans="5:19">
      <c r="E100" s="45" t="s">
        <v>2</v>
      </c>
      <c r="F100" s="32">
        <v>0.17962432561698399</v>
      </c>
      <c r="G100" s="30">
        <v>0.106615936049508</v>
      </c>
      <c r="H100" s="30">
        <v>4.7482564559215901E-2</v>
      </c>
      <c r="I100" s="30">
        <v>2.8524363636363601E-2</v>
      </c>
      <c r="J100" s="30">
        <v>8.0952380952380902E-4</v>
      </c>
      <c r="K100" s="30">
        <v>1.2363037974683499E-2</v>
      </c>
      <c r="L100" s="34">
        <v>7.0691538461538403E-2</v>
      </c>
      <c r="M100" s="32">
        <v>0.204534724709039</v>
      </c>
      <c r="N100" s="30">
        <v>0.17992435680751101</v>
      </c>
      <c r="O100" s="30">
        <v>0.159789865410498</v>
      </c>
      <c r="P100" s="30">
        <v>2.0897499999999999E-2</v>
      </c>
      <c r="Q100" s="30">
        <v>4.4357692307692301E-3</v>
      </c>
      <c r="R100" s="30">
        <v>7.8430714285714201E-2</v>
      </c>
      <c r="S100" s="34">
        <v>3.6133333333333302E-2</v>
      </c>
    </row>
    <row r="101" spans="5:19">
      <c r="E101" s="45" t="s">
        <v>3</v>
      </c>
      <c r="F101" s="32">
        <v>2.9646272806255199E-2</v>
      </c>
      <c r="G101" s="30">
        <v>2.5997230142566E-2</v>
      </c>
      <c r="H101" s="30">
        <v>3.8960497925311102E-2</v>
      </c>
      <c r="I101" s="30">
        <v>1.0000000000000001E-5</v>
      </c>
      <c r="J101" s="30"/>
      <c r="K101" s="30">
        <v>5.0376026119403096E-3</v>
      </c>
      <c r="L101" s="34">
        <v>1.10768599033816E-2</v>
      </c>
      <c r="M101" s="32">
        <v>4.3744485049833602E-2</v>
      </c>
      <c r="N101" s="30">
        <v>2.9509874371859101E-2</v>
      </c>
      <c r="O101" s="30">
        <v>3.9401454545454503E-2</v>
      </c>
      <c r="P101" s="30">
        <v>2.0599999999999999E-4</v>
      </c>
      <c r="Q101" s="30"/>
      <c r="R101" s="30">
        <v>2.55094843049327E-2</v>
      </c>
      <c r="S101" s="34">
        <v>1.3983487738419601E-2</v>
      </c>
    </row>
    <row r="102" spans="5:19">
      <c r="E102" s="45" t="s">
        <v>4</v>
      </c>
      <c r="F102" s="32">
        <v>5.9322570281124302E-2</v>
      </c>
      <c r="G102" s="30">
        <v>5.4496807017543697E-2</v>
      </c>
      <c r="H102" s="30">
        <v>1.5174714285714101E-2</v>
      </c>
      <c r="I102" s="30">
        <v>1.0000000000000001E-5</v>
      </c>
      <c r="J102" s="30"/>
      <c r="K102" s="30"/>
      <c r="L102" s="34"/>
      <c r="M102" s="32">
        <v>0.108486411764705</v>
      </c>
      <c r="N102" s="30">
        <v>3.0736299212598399E-2</v>
      </c>
      <c r="O102" s="30">
        <v>0.23485928571428499</v>
      </c>
      <c r="P102" s="30">
        <v>4.87026315789473E-3</v>
      </c>
      <c r="Q102" s="30">
        <v>9.7434782608695598E-4</v>
      </c>
      <c r="R102" s="30"/>
      <c r="S102" s="34"/>
    </row>
    <row r="103" spans="5:19">
      <c r="E103" s="45" t="s">
        <v>5</v>
      </c>
      <c r="F103" s="32">
        <v>6.3936909581646495E-2</v>
      </c>
      <c r="G103" s="30">
        <v>4.1927081589958198E-2</v>
      </c>
      <c r="H103" s="30">
        <v>1.1346865671641599E-2</v>
      </c>
      <c r="I103" s="30">
        <v>3.3156699999999999</v>
      </c>
      <c r="J103" s="30"/>
      <c r="K103" s="30">
        <v>3.0000000000000001E-3</v>
      </c>
      <c r="L103" s="34"/>
      <c r="M103" s="32">
        <v>0.11809298192771001</v>
      </c>
      <c r="N103" s="30">
        <v>5.6006674584322798E-2</v>
      </c>
      <c r="O103" s="30">
        <v>0.11004369565217299</v>
      </c>
      <c r="P103" s="30">
        <v>2.0737751756440201E-2</v>
      </c>
      <c r="Q103" s="30">
        <v>1.2842016806722601E-3</v>
      </c>
      <c r="R103" s="30"/>
      <c r="S103" s="34"/>
    </row>
    <row r="104" spans="5:19">
      <c r="E104" s="46" t="s">
        <v>6</v>
      </c>
      <c r="F104" s="37">
        <v>3.3362653631284697E-2</v>
      </c>
      <c r="G104" s="36">
        <v>2.1321630252100699E-2</v>
      </c>
      <c r="H104" s="36">
        <v>9.7003806228373596E-3</v>
      </c>
      <c r="I104" s="36"/>
      <c r="J104" s="36">
        <v>1.49E-3</v>
      </c>
      <c r="K104" s="36">
        <v>0.17</v>
      </c>
      <c r="L104" s="35">
        <v>1.0000000000000001E-5</v>
      </c>
      <c r="M104" s="37"/>
      <c r="N104" s="36">
        <v>1.7603827160493701E-2</v>
      </c>
      <c r="O104" s="36">
        <v>5.3333333333333297E-3</v>
      </c>
      <c r="P104" s="36">
        <v>1.6427094594594498E-2</v>
      </c>
      <c r="Q104" s="36">
        <v>1.7880263157894699E-3</v>
      </c>
      <c r="R104" s="36"/>
      <c r="S104" s="35"/>
    </row>
    <row r="105" spans="5:19">
      <c r="E105" s="44" t="s">
        <v>7</v>
      </c>
      <c r="F105" s="11">
        <v>0.17739044160131701</v>
      </c>
      <c r="G105" s="12">
        <v>0.141252731196049</v>
      </c>
      <c r="H105" s="12">
        <v>0.13014620009979699</v>
      </c>
      <c r="I105" s="12">
        <v>1.47795170454545E-2</v>
      </c>
      <c r="J105" s="12">
        <v>4.5652968036529601E-4</v>
      </c>
      <c r="K105" s="12">
        <v>8.7517102137767405E-3</v>
      </c>
      <c r="L105" s="13">
        <v>8.7860067114093904E-3</v>
      </c>
      <c r="M105" s="11">
        <v>5.6940163880529103E-2</v>
      </c>
      <c r="N105" s="12">
        <v>4.57551043375145E-2</v>
      </c>
      <c r="O105" s="12">
        <v>7.8908944409741499E-2</v>
      </c>
      <c r="P105" s="12">
        <v>8.1898458844131394E-3</v>
      </c>
      <c r="Q105" s="12">
        <v>4.8958135283363796E-3</v>
      </c>
      <c r="R105" s="12">
        <v>2.0971676300577998E-3</v>
      </c>
      <c r="S105" s="13">
        <v>1.5689389067523998E-2</v>
      </c>
    </row>
    <row r="106" spans="5:19">
      <c r="E106" s="45" t="s">
        <v>8</v>
      </c>
      <c r="F106" s="14">
        <v>0.125087535408554</v>
      </c>
      <c r="G106" s="15">
        <v>7.7646996544137106E-2</v>
      </c>
      <c r="H106" s="15">
        <v>0.138585433705081</v>
      </c>
      <c r="I106" s="15"/>
      <c r="J106" s="15"/>
      <c r="K106" s="15">
        <v>5.6464169381107501E-3</v>
      </c>
      <c r="L106" s="16">
        <v>1.3160966542750899E-2</v>
      </c>
      <c r="M106" s="14">
        <v>6.7559793770435E-2</v>
      </c>
      <c r="N106" s="15">
        <v>2.7494515595307099E-2</v>
      </c>
      <c r="O106" s="15">
        <v>5.6141248531141698E-2</v>
      </c>
      <c r="P106" s="15">
        <v>2.96772236076476E-3</v>
      </c>
      <c r="Q106" s="15">
        <v>8.9417266187050495E-4</v>
      </c>
      <c r="R106" s="15">
        <v>8.7521739130434599E-4</v>
      </c>
      <c r="S106" s="16">
        <v>1.8863617021276601E-3</v>
      </c>
    </row>
    <row r="107" spans="5:19">
      <c r="E107" s="45" t="s">
        <v>9</v>
      </c>
      <c r="F107" s="14">
        <v>0.178291350159272</v>
      </c>
      <c r="G107" s="15">
        <v>0.149338622448979</v>
      </c>
      <c r="H107" s="15">
        <v>0.20484091364205201</v>
      </c>
      <c r="I107" s="15">
        <v>2.32569117647058E-2</v>
      </c>
      <c r="J107" s="15">
        <v>1.22745744680851E-2</v>
      </c>
      <c r="K107" s="15">
        <v>3.52371428571428E-2</v>
      </c>
      <c r="L107" s="16">
        <v>0.44708999999999999</v>
      </c>
      <c r="M107" s="14">
        <v>0.148850382775116</v>
      </c>
      <c r="N107" s="15">
        <v>9.7186133477437306E-2</v>
      </c>
      <c r="O107" s="15">
        <v>3.57783081841445E-2</v>
      </c>
      <c r="P107" s="15">
        <v>5.2750851063829797E-2</v>
      </c>
      <c r="Q107" s="15">
        <v>1.1594736842105199E-3</v>
      </c>
      <c r="R107" s="15">
        <v>8.4268325791855003E-3</v>
      </c>
      <c r="S107" s="16">
        <v>5.1499375E-2</v>
      </c>
    </row>
    <row r="108" spans="5:19">
      <c r="E108" s="45" t="s">
        <v>10</v>
      </c>
      <c r="F108" s="14">
        <v>5.1841244377810798E-2</v>
      </c>
      <c r="G108" s="15">
        <v>2.70802304147463E-2</v>
      </c>
      <c r="H108" s="15">
        <v>0.19244120000000001</v>
      </c>
      <c r="I108" s="15">
        <v>0.82725749999999998</v>
      </c>
      <c r="J108" s="15"/>
      <c r="K108" s="15">
        <v>7.2376284584980202E-3</v>
      </c>
      <c r="L108" s="16">
        <v>2.0780962025316398E-2</v>
      </c>
      <c r="M108" s="14">
        <v>2.7041499999999701E-2</v>
      </c>
      <c r="N108" s="15">
        <v>2.4673510054844399E-2</v>
      </c>
      <c r="O108" s="15">
        <v>9.8139344262294995E-3</v>
      </c>
      <c r="P108" s="15">
        <v>2.5750000000000002E-4</v>
      </c>
      <c r="Q108" s="15"/>
      <c r="R108" s="15">
        <v>7.0731425598334801E-3</v>
      </c>
      <c r="S108" s="16">
        <v>9.0568080357143095E-3</v>
      </c>
    </row>
    <row r="109" spans="5:19">
      <c r="E109" s="45" t="s">
        <v>11</v>
      </c>
      <c r="F109" s="14">
        <v>7.5134655172413703E-2</v>
      </c>
      <c r="G109" s="15">
        <v>5.8343566878980797E-2</v>
      </c>
      <c r="H109" s="15">
        <v>0.401541818181818</v>
      </c>
      <c r="I109" s="15">
        <v>2.9225136612021701E-3</v>
      </c>
      <c r="J109" s="15">
        <v>1.0348979591836701E-3</v>
      </c>
      <c r="K109" s="15"/>
      <c r="L109" s="16"/>
      <c r="M109" s="14">
        <v>6.0984931506849201E-2</v>
      </c>
      <c r="N109" s="15">
        <v>4.2739932203389598E-2</v>
      </c>
      <c r="O109" s="15">
        <v>1.0374172494172501E-2</v>
      </c>
      <c r="P109" s="15">
        <v>7.6029999999999998</v>
      </c>
      <c r="Q109" s="15"/>
      <c r="R109" s="15">
        <v>5.6752499999999997E-2</v>
      </c>
      <c r="S109" s="16">
        <v>1E-3</v>
      </c>
    </row>
    <row r="110" spans="5:19">
      <c r="E110" s="45" t="s">
        <v>12</v>
      </c>
      <c r="F110" s="14">
        <v>0.140301777108433</v>
      </c>
      <c r="G110" s="15">
        <v>5.64416905444124E-2</v>
      </c>
      <c r="H110" s="15">
        <v>0.15692500000000001</v>
      </c>
      <c r="I110" s="15">
        <v>1.5333752711496699E-2</v>
      </c>
      <c r="J110" s="15">
        <v>1.7124242424242399E-3</v>
      </c>
      <c r="K110" s="15">
        <v>4.8000000000000001E-2</v>
      </c>
      <c r="L110" s="16">
        <v>1.98E-3</v>
      </c>
      <c r="M110" s="14">
        <v>6.1789727685325202E-2</v>
      </c>
      <c r="N110" s="15">
        <v>3.8673446447507802E-2</v>
      </c>
      <c r="O110" s="15">
        <v>9.7114814814813506E-3</v>
      </c>
      <c r="P110" s="15">
        <v>2.3990000000000001E-2</v>
      </c>
      <c r="Q110" s="15"/>
      <c r="R110" s="15">
        <v>4.3333333333333297E-3</v>
      </c>
      <c r="S110" s="16"/>
    </row>
    <row r="111" spans="5:19">
      <c r="E111" s="46" t="s">
        <v>13</v>
      </c>
      <c r="F111" s="17"/>
      <c r="G111" s="18">
        <v>1.1264202453987701E-2</v>
      </c>
      <c r="H111" s="18">
        <v>9.8799999999999999E-2</v>
      </c>
      <c r="I111" s="18">
        <v>1.9449489051094799E-2</v>
      </c>
      <c r="J111" s="18">
        <v>1.0530555555555499E-3</v>
      </c>
      <c r="K111" s="18"/>
      <c r="L111" s="19">
        <v>1.02</v>
      </c>
      <c r="M111" s="17">
        <v>2.7502293906809899E-2</v>
      </c>
      <c r="N111" s="18">
        <v>1.57952574102962E-2</v>
      </c>
      <c r="O111" s="18">
        <v>1.31675257731958E-2</v>
      </c>
      <c r="P111" s="18">
        <v>1.0000000000000001E-5</v>
      </c>
      <c r="Q111" s="18"/>
      <c r="R111" s="18">
        <v>1.98666666666666E-3</v>
      </c>
      <c r="S111" s="19"/>
    </row>
    <row r="113" spans="5:19">
      <c r="E113" s="76" t="s">
        <v>38</v>
      </c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8"/>
    </row>
    <row r="115" spans="5:19">
      <c r="E115" s="40" t="s">
        <v>21</v>
      </c>
      <c r="F115" s="41" t="s">
        <v>0</v>
      </c>
      <c r="G115" s="42" t="s">
        <v>1</v>
      </c>
      <c r="H115" s="42" t="s">
        <v>2</v>
      </c>
      <c r="I115" s="42" t="s">
        <v>3</v>
      </c>
      <c r="J115" s="42" t="s">
        <v>4</v>
      </c>
      <c r="K115" s="42" t="s">
        <v>5</v>
      </c>
      <c r="L115" s="43" t="s">
        <v>6</v>
      </c>
      <c r="M115" s="41" t="s">
        <v>7</v>
      </c>
      <c r="N115" s="42" t="s">
        <v>8</v>
      </c>
      <c r="O115" s="42" t="s">
        <v>9</v>
      </c>
      <c r="P115" s="42" t="s">
        <v>10</v>
      </c>
      <c r="Q115" s="42" t="s">
        <v>11</v>
      </c>
      <c r="R115" s="42" t="s">
        <v>12</v>
      </c>
      <c r="S115" s="43" t="s">
        <v>13</v>
      </c>
    </row>
    <row r="116" spans="5:19">
      <c r="E116" s="44" t="s">
        <v>0</v>
      </c>
      <c r="F116" s="209">
        <v>-0.16312056050701401</v>
      </c>
      <c r="G116" s="210">
        <v>-9.1745270568156997E-2</v>
      </c>
      <c r="H116" s="210">
        <v>9.0048814932718393E-3</v>
      </c>
      <c r="I116" s="210">
        <v>-0.46836741840505502</v>
      </c>
      <c r="J116" s="210">
        <v>-0.45678024252735799</v>
      </c>
      <c r="K116" s="210">
        <v>-8.9703805018147703E-2</v>
      </c>
      <c r="L116" s="211">
        <v>-6.8327338763324003E-2</v>
      </c>
      <c r="M116" s="209">
        <v>-1.3025693662254299E-3</v>
      </c>
      <c r="N116" s="210">
        <v>-0.17550260310650201</v>
      </c>
      <c r="O116" s="210">
        <v>-0.17072184676114699</v>
      </c>
      <c r="P116" s="210">
        <v>0.47072645555944798</v>
      </c>
      <c r="Q116" s="210">
        <v>0.46146091964456898</v>
      </c>
      <c r="R116" s="210">
        <v>-2.2608854089290899E-2</v>
      </c>
      <c r="S116" s="211">
        <v>-9.4984416901596602E-3</v>
      </c>
    </row>
    <row r="117" spans="5:19">
      <c r="E117" s="45" t="s">
        <v>1</v>
      </c>
      <c r="F117" s="212">
        <v>-9.66413178315597E-2</v>
      </c>
      <c r="G117" s="213">
        <v>4.2089513602255303E-2</v>
      </c>
      <c r="H117" s="213">
        <v>0.16548740327894901</v>
      </c>
      <c r="I117" s="213">
        <v>-0.468819595184713</v>
      </c>
      <c r="J117" s="213">
        <v>-0.45984618881754302</v>
      </c>
      <c r="K117" s="213">
        <v>-3.6281189026781999E-2</v>
      </c>
      <c r="L117" s="214">
        <v>-2.2531237233573601E-2</v>
      </c>
      <c r="M117" s="212">
        <v>0.16696986609148901</v>
      </c>
      <c r="N117" s="213">
        <v>-6.0922825342326903E-3</v>
      </c>
      <c r="O117" s="213">
        <v>-0.18647082191516101</v>
      </c>
      <c r="P117" s="213"/>
      <c r="Q117" s="213"/>
      <c r="R117" s="213">
        <v>-5.7010412043796005E-4</v>
      </c>
      <c r="S117" s="214">
        <v>2.0854644459535599E-2</v>
      </c>
    </row>
    <row r="118" spans="5:19">
      <c r="E118" s="45" t="s">
        <v>2</v>
      </c>
      <c r="F118" s="212">
        <v>3.7006046651131802E-2</v>
      </c>
      <c r="G118" s="213">
        <v>0.17036383326263099</v>
      </c>
      <c r="H118" s="213">
        <v>0.12568762575341499</v>
      </c>
      <c r="I118" s="213">
        <v>-0.40596750964155298</v>
      </c>
      <c r="J118" s="213">
        <v>-0.409574346099568</v>
      </c>
      <c r="K118" s="213">
        <v>-0.144827564474237</v>
      </c>
      <c r="L118" s="214">
        <v>-0.13864246108978201</v>
      </c>
      <c r="M118" s="212">
        <v>0.152942509020281</v>
      </c>
      <c r="N118" s="213">
        <v>7.9655260794528907E-2</v>
      </c>
      <c r="O118" s="213">
        <v>-5.8236302557237102E-3</v>
      </c>
      <c r="P118" s="213">
        <v>0.44717175191824998</v>
      </c>
      <c r="Q118" s="213">
        <v>0.44058922400253597</v>
      </c>
      <c r="R118" s="213">
        <v>-4.1843297599170298E-2</v>
      </c>
      <c r="S118" s="214">
        <v>-6.3677546278094604E-2</v>
      </c>
    </row>
    <row r="119" spans="5:19">
      <c r="E119" s="45" t="s">
        <v>3</v>
      </c>
      <c r="F119" s="212">
        <v>-2.4117295023238301E-2</v>
      </c>
      <c r="G119" s="213">
        <v>2.1229576841315101E-2</v>
      </c>
      <c r="H119" s="213">
        <v>-3.3933840811349002E-2</v>
      </c>
      <c r="I119" s="213">
        <v>-0.30392156862745101</v>
      </c>
      <c r="J119" s="213"/>
      <c r="K119" s="213">
        <v>-3.6379964855385603E-2</v>
      </c>
      <c r="L119" s="214">
        <v>9.2223797890650502E-4</v>
      </c>
      <c r="M119" s="212">
        <v>4.7021844836515003E-2</v>
      </c>
      <c r="N119" s="213">
        <v>2.7599721793286399E-2</v>
      </c>
      <c r="O119" s="213">
        <v>0.10081756602992301</v>
      </c>
      <c r="P119" s="213">
        <v>0.46485401320112402</v>
      </c>
      <c r="Q119" s="213"/>
      <c r="R119" s="213">
        <v>2.7299150234214802E-2</v>
      </c>
      <c r="S119" s="214">
        <v>4.8142400282001403E-2</v>
      </c>
    </row>
    <row r="120" spans="5:19">
      <c r="E120" s="45" t="s">
        <v>4</v>
      </c>
      <c r="F120" s="212">
        <v>0.44774950336167901</v>
      </c>
      <c r="G120" s="213">
        <v>0.450695533304447</v>
      </c>
      <c r="H120" s="213">
        <v>0.44134377740839398</v>
      </c>
      <c r="I120" s="213">
        <v>-0.49656357388316102</v>
      </c>
      <c r="J120" s="213"/>
      <c r="K120" s="213"/>
      <c r="L120" s="214"/>
      <c r="M120" s="212">
        <v>0.438056898132483</v>
      </c>
      <c r="N120" s="213">
        <v>0.46746130505279798</v>
      </c>
      <c r="O120" s="213">
        <v>0.34397545407043001</v>
      </c>
      <c r="P120" s="213">
        <v>0.48892120841468401</v>
      </c>
      <c r="Q120" s="213">
        <v>0.48263479830030098</v>
      </c>
      <c r="R120" s="213"/>
      <c r="S120" s="214"/>
    </row>
    <row r="121" spans="5:19">
      <c r="E121" s="45" t="s">
        <v>5</v>
      </c>
      <c r="F121" s="212">
        <v>0.401645632277149</v>
      </c>
      <c r="G121" s="213">
        <v>0.40235922397673901</v>
      </c>
      <c r="H121" s="213">
        <v>0.42617396502186899</v>
      </c>
      <c r="I121" s="213">
        <v>-0.24446689113355699</v>
      </c>
      <c r="J121" s="213"/>
      <c r="K121" s="213">
        <v>0.48412698412698402</v>
      </c>
      <c r="L121" s="214"/>
      <c r="M121" s="212">
        <v>0.42241761501077602</v>
      </c>
      <c r="N121" s="213">
        <v>0.44441919984629003</v>
      </c>
      <c r="O121" s="213">
        <v>0.398924928534586</v>
      </c>
      <c r="P121" s="213">
        <v>0.47664947049894102</v>
      </c>
      <c r="Q121" s="213">
        <v>0.45838404158518897</v>
      </c>
      <c r="R121" s="213"/>
      <c r="S121" s="214"/>
    </row>
    <row r="122" spans="5:19">
      <c r="E122" s="46" t="s">
        <v>6</v>
      </c>
      <c r="F122" s="215">
        <v>0.46706299511510802</v>
      </c>
      <c r="G122" s="216">
        <v>0.47770783165913</v>
      </c>
      <c r="H122" s="216">
        <v>0.475638469026267</v>
      </c>
      <c r="I122" s="216"/>
      <c r="J122" s="216">
        <v>0.36166666666666603</v>
      </c>
      <c r="K122" s="216">
        <v>-0.20422535211267601</v>
      </c>
      <c r="L122" s="217">
        <v>8.3333333333333301E-2</v>
      </c>
      <c r="M122" s="215"/>
      <c r="N122" s="216">
        <v>0.47108461991491002</v>
      </c>
      <c r="O122" s="216">
        <v>0.468691997154569</v>
      </c>
      <c r="P122" s="216">
        <v>0.47285963268967901</v>
      </c>
      <c r="Q122" s="216">
        <v>0.47152015777246498</v>
      </c>
      <c r="R122" s="216"/>
      <c r="S122" s="217"/>
    </row>
    <row r="123" spans="5:19">
      <c r="E123" s="44" t="s">
        <v>7</v>
      </c>
      <c r="F123" s="83">
        <v>6.4282303115092499E-3</v>
      </c>
      <c r="G123" s="84">
        <v>0.173242791723624</v>
      </c>
      <c r="H123" s="84">
        <v>0.16818113250938499</v>
      </c>
      <c r="I123" s="84">
        <v>-0.46130620893167001</v>
      </c>
      <c r="J123" s="84">
        <v>-0.46614308723484199</v>
      </c>
      <c r="K123" s="84">
        <v>1.23092881157391E-2</v>
      </c>
      <c r="L123" s="85">
        <v>1.55980730800451E-2</v>
      </c>
      <c r="M123" s="83">
        <v>0.16539098883471301</v>
      </c>
      <c r="N123" s="84">
        <v>9.5922440123630104E-2</v>
      </c>
      <c r="O123" s="84">
        <v>8.13170396929742E-4</v>
      </c>
      <c r="P123" s="84">
        <v>0.46848036926530501</v>
      </c>
      <c r="Q123" s="84">
        <v>0.45942604098180601</v>
      </c>
      <c r="R123" s="84">
        <v>9.9984956850832099E-2</v>
      </c>
      <c r="S123" s="85">
        <v>7.5183001923172899E-2</v>
      </c>
    </row>
    <row r="124" spans="5:19">
      <c r="E124" s="45" t="s">
        <v>8</v>
      </c>
      <c r="F124" s="86">
        <v>-0.16622703809425399</v>
      </c>
      <c r="G124" s="87">
        <v>-9.4511444590894696E-4</v>
      </c>
      <c r="H124" s="87">
        <v>0.16202640517104</v>
      </c>
      <c r="I124" s="87"/>
      <c r="J124" s="87"/>
      <c r="K124" s="87">
        <v>-2.1168918722018901E-2</v>
      </c>
      <c r="L124" s="88">
        <v>-1.8355324157345899E-2</v>
      </c>
      <c r="M124" s="86">
        <v>9.68399335291623E-2</v>
      </c>
      <c r="N124" s="87">
        <v>-4.4196595034216302E-2</v>
      </c>
      <c r="O124" s="87">
        <v>-0.16453062104244801</v>
      </c>
      <c r="P124" s="87">
        <v>0.46743576552731803</v>
      </c>
      <c r="Q124" s="87">
        <v>0.45536622920365499</v>
      </c>
      <c r="R124" s="87">
        <v>3.1203322499558199E-2</v>
      </c>
      <c r="S124" s="88">
        <v>2.0923455893924199E-2</v>
      </c>
    </row>
    <row r="125" spans="5:19">
      <c r="E125" s="45" t="s">
        <v>9</v>
      </c>
      <c r="F125" s="86">
        <v>-0.14671555463032401</v>
      </c>
      <c r="G125" s="87">
        <v>-0.105267336579261</v>
      </c>
      <c r="H125" s="87">
        <v>-1.28509969142577E-3</v>
      </c>
      <c r="I125" s="87">
        <v>-0.45169049147308599</v>
      </c>
      <c r="J125" s="87">
        <v>-0.442756410274118</v>
      </c>
      <c r="K125" s="87">
        <v>-8.5054951927254804E-2</v>
      </c>
      <c r="L125" s="88">
        <v>-7.2760641169861799E-3</v>
      </c>
      <c r="M125" s="86">
        <v>-2.8473420169660701E-2</v>
      </c>
      <c r="N125" s="87">
        <v>-0.17316116090330499</v>
      </c>
      <c r="O125" s="87">
        <v>-0.12069897043513</v>
      </c>
      <c r="P125" s="87">
        <v>0.39561146488499899</v>
      </c>
      <c r="Q125" s="87">
        <v>0.39097021884650301</v>
      </c>
      <c r="R125" s="87">
        <v>0.14391841530567201</v>
      </c>
      <c r="S125" s="88">
        <v>9.7395084993397302E-2</v>
      </c>
    </row>
    <row r="126" spans="5:19">
      <c r="E126" s="45" t="s">
        <v>10</v>
      </c>
      <c r="F126" s="86">
        <v>-3.5282881728610702E-2</v>
      </c>
      <c r="G126" s="87">
        <v>-3.6000773540697702E-2</v>
      </c>
      <c r="H126" s="87">
        <v>-3.9576251590506803E-2</v>
      </c>
      <c r="I126" s="87">
        <v>-0.201585695006747</v>
      </c>
      <c r="J126" s="87"/>
      <c r="K126" s="87">
        <v>-2.6878541307751001E-2</v>
      </c>
      <c r="L126" s="88">
        <v>-3.5482843402426897E-2</v>
      </c>
      <c r="M126" s="86">
        <v>1.90496152022205E-2</v>
      </c>
      <c r="N126" s="87">
        <v>-2.10228745239525E-2</v>
      </c>
      <c r="O126" s="87">
        <v>1.07335935080656E-2</v>
      </c>
      <c r="P126" s="87">
        <v>0.32669082125603799</v>
      </c>
      <c r="Q126" s="87"/>
      <c r="R126" s="87">
        <v>2.9424926319459099E-2</v>
      </c>
      <c r="S126" s="88">
        <v>1.86636842753613E-2</v>
      </c>
    </row>
    <row r="127" spans="5:19">
      <c r="E127" s="45" t="s">
        <v>11</v>
      </c>
      <c r="F127" s="86">
        <v>-0.442477781733493</v>
      </c>
      <c r="G127" s="87">
        <v>-0.44653335544279199</v>
      </c>
      <c r="H127" s="87">
        <v>-0.35795832872215699</v>
      </c>
      <c r="I127" s="87">
        <v>-0.49103127242350098</v>
      </c>
      <c r="J127" s="87">
        <v>-0.47902252970033499</v>
      </c>
      <c r="K127" s="87"/>
      <c r="L127" s="88"/>
      <c r="M127" s="86">
        <v>-0.43001176055395202</v>
      </c>
      <c r="N127" s="87">
        <v>-0.44517876729866401</v>
      </c>
      <c r="O127" s="87">
        <v>-0.44007874575026701</v>
      </c>
      <c r="P127" s="87">
        <v>-0.18965517241379301</v>
      </c>
      <c r="Q127" s="87"/>
      <c r="R127" s="87">
        <v>-9.1331269349845201E-2</v>
      </c>
      <c r="S127" s="88">
        <v>0.44893617021276599</v>
      </c>
    </row>
    <row r="128" spans="5:19">
      <c r="E128" s="45" t="s">
        <v>12</v>
      </c>
      <c r="F128" s="86">
        <v>-0.40549694034087702</v>
      </c>
      <c r="G128" s="87">
        <v>-0.44327696522288002</v>
      </c>
      <c r="H128" s="87">
        <v>-0.37573873008991798</v>
      </c>
      <c r="I128" s="87">
        <v>-0.47992129800786798</v>
      </c>
      <c r="J128" s="87">
        <v>-0.46009198022086001</v>
      </c>
      <c r="K128" s="87">
        <v>-0.219999999999999</v>
      </c>
      <c r="L128" s="88">
        <v>-0.314569536423841</v>
      </c>
      <c r="M128" s="86">
        <v>-0.398297614792951</v>
      </c>
      <c r="N128" s="87">
        <v>-0.40854290246817099</v>
      </c>
      <c r="O128" s="87">
        <v>-0.42260817889836</v>
      </c>
      <c r="P128" s="87">
        <v>0.11087225105016001</v>
      </c>
      <c r="Q128" s="87"/>
      <c r="R128" s="87">
        <v>-0.22102453102453101</v>
      </c>
      <c r="S128" s="88"/>
    </row>
    <row r="129" spans="5:19">
      <c r="E129" s="46" t="s">
        <v>13</v>
      </c>
      <c r="F129" s="89"/>
      <c r="G129" s="90">
        <v>-0.466440008603066</v>
      </c>
      <c r="H129" s="90">
        <v>-0.38778386264883102</v>
      </c>
      <c r="I129" s="90">
        <v>-0.47243476433528298</v>
      </c>
      <c r="J129" s="90">
        <v>-0.46026339080649697</v>
      </c>
      <c r="K129" s="90"/>
      <c r="L129" s="91">
        <v>-0.204545454545454</v>
      </c>
      <c r="M129" s="89">
        <v>-0.46882477099419001</v>
      </c>
      <c r="N129" s="90">
        <v>-0.47764888650850101</v>
      </c>
      <c r="O129" s="90">
        <v>-0.47352184687655902</v>
      </c>
      <c r="P129" s="90">
        <v>8.3333333333333301E-2</v>
      </c>
      <c r="Q129" s="90"/>
      <c r="R129" s="90">
        <v>-0.18701996927803299</v>
      </c>
      <c r="S129" s="91"/>
    </row>
  </sheetData>
  <mergeCells count="6">
    <mergeCell ref="E22:S22"/>
    <mergeCell ref="E41:S41"/>
    <mergeCell ref="E59:S59"/>
    <mergeCell ref="E77:S77"/>
    <mergeCell ref="E95:S95"/>
    <mergeCell ref="E113:S113"/>
  </mergeCells>
  <conditionalFormatting sqref="C7:C20">
    <cfRule type="colorScale" priority="13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7:S20">
    <cfRule type="colorScale" priority="12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3:S3">
    <cfRule type="colorScale" priority="11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V7:V20">
    <cfRule type="colorScale" priority="10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Y7:Y20">
    <cfRule type="colorScale" priority="9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98:S111">
    <cfRule type="colorScale" priority="8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44:S57">
    <cfRule type="colorScale" priority="7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80:S93">
    <cfRule type="colorScale" priority="6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116:S129">
    <cfRule type="colorScale" priority="5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25:S38">
    <cfRule type="colorScale" priority="4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C25:C38">
    <cfRule type="colorScale" priority="3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V62:V75">
    <cfRule type="colorScale" priority="2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Y62:Y75">
    <cfRule type="colorScale" priority="1">
      <colorScale>
        <cfvo type="min"/>
        <cfvo type="percentile" val="50"/>
        <cfvo type="max"/>
        <color rgb="FFFF0000"/>
        <color theme="0"/>
        <color rgb="FF00B0F0"/>
      </colorScale>
    </cfRule>
  </conditionalFormatting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BFFCF-883D-3C42-B761-0C4DF683252F}">
  <dimension ref="B2:Z129"/>
  <sheetViews>
    <sheetView showGridLines="0" workbookViewId="0">
      <selection activeCell="C60" sqref="C60"/>
    </sheetView>
  </sheetViews>
  <sheetFormatPr baseColWidth="10" defaultRowHeight="16"/>
  <cols>
    <col min="1" max="1" width="2.83203125" customWidth="1"/>
    <col min="2" max="2" width="6.83203125" bestFit="1" customWidth="1"/>
    <col min="3" max="3" width="9.5" customWidth="1"/>
    <col min="4" max="4" width="7.1640625" customWidth="1"/>
    <col min="5" max="5" width="6.83203125" bestFit="1" customWidth="1"/>
    <col min="6" max="19" width="7.6640625" customWidth="1"/>
    <col min="20" max="20" width="2.33203125" customWidth="1"/>
    <col min="21" max="21" width="8.1640625" bestFit="1" customWidth="1"/>
    <col min="22" max="22" width="13.33203125" bestFit="1" customWidth="1"/>
    <col min="23" max="23" width="6.1640625" customWidth="1"/>
    <col min="24" max="24" width="7.5" customWidth="1"/>
    <col min="25" max="25" width="10" customWidth="1"/>
    <col min="27" max="27" width="8.6640625" bestFit="1" customWidth="1"/>
    <col min="28" max="29" width="6.6640625" bestFit="1" customWidth="1"/>
    <col min="30" max="31" width="5.6640625" bestFit="1" customWidth="1"/>
    <col min="32" max="32" width="6.6640625" bestFit="1" customWidth="1"/>
    <col min="33" max="33" width="6.1640625" bestFit="1" customWidth="1"/>
    <col min="34" max="34" width="5.33203125" bestFit="1" customWidth="1"/>
    <col min="35" max="36" width="6.6640625" bestFit="1" customWidth="1"/>
    <col min="37" max="38" width="5.6640625" bestFit="1" customWidth="1"/>
    <col min="39" max="39" width="6.6640625" bestFit="1" customWidth="1"/>
    <col min="40" max="40" width="6.1640625" bestFit="1" customWidth="1"/>
    <col min="41" max="41" width="5.33203125" bestFit="1" customWidth="1"/>
  </cols>
  <sheetData>
    <row r="2" spans="2:25">
      <c r="E2" s="20"/>
      <c r="F2" s="4" t="s">
        <v>0</v>
      </c>
      <c r="G2" s="5" t="s">
        <v>1</v>
      </c>
      <c r="H2" s="5" t="s">
        <v>2</v>
      </c>
      <c r="I2" s="5" t="s">
        <v>3</v>
      </c>
      <c r="J2" s="5" t="s">
        <v>4</v>
      </c>
      <c r="K2" s="5" t="s">
        <v>5</v>
      </c>
      <c r="L2" s="6" t="s">
        <v>6</v>
      </c>
      <c r="M2" s="4" t="s">
        <v>7</v>
      </c>
      <c r="N2" s="5" t="s">
        <v>8</v>
      </c>
      <c r="O2" s="5" t="s">
        <v>9</v>
      </c>
      <c r="P2" s="5" t="s">
        <v>10</v>
      </c>
      <c r="Q2" s="5" t="s">
        <v>11</v>
      </c>
      <c r="R2" s="5" t="s">
        <v>12</v>
      </c>
      <c r="S2" s="6" t="s">
        <v>13</v>
      </c>
    </row>
    <row r="3" spans="2:25">
      <c r="B3" s="39" t="s">
        <v>15</v>
      </c>
      <c r="C3" s="38">
        <v>43900</v>
      </c>
      <c r="E3" s="20"/>
      <c r="F3" s="21">
        <f>C7</f>
        <v>0.53518929796793402</v>
      </c>
      <c r="G3" s="22">
        <f>C8</f>
        <v>0.70256426484755097</v>
      </c>
      <c r="H3" s="22">
        <f>C9</f>
        <v>0.104772667257835</v>
      </c>
      <c r="I3" s="22">
        <f>C10</f>
        <v>7.4960988215726596E-2</v>
      </c>
      <c r="J3" s="22">
        <f>C11</f>
        <v>2.2412680624724599E-2</v>
      </c>
      <c r="K3" s="22">
        <f>C12</f>
        <v>5.1322646071090203E-2</v>
      </c>
      <c r="L3" s="23">
        <f>C13</f>
        <v>3.3017824876450899E-2</v>
      </c>
      <c r="M3" s="21">
        <f>C14</f>
        <v>0.59216568065030994</v>
      </c>
      <c r="N3" s="22">
        <f>C15</f>
        <v>0.62874022819505004</v>
      </c>
      <c r="O3" s="22">
        <f>C16</f>
        <v>9.2683657765842406E-2</v>
      </c>
      <c r="P3" s="22">
        <f>C17</f>
        <v>7.4347006034703095E-2</v>
      </c>
      <c r="Q3" s="22">
        <f>C18</f>
        <v>2.2015558423844599E-2</v>
      </c>
      <c r="R3" s="22">
        <f>C19</f>
        <v>5.1229536490832499E-2</v>
      </c>
      <c r="S3" s="23">
        <f>C20</f>
        <v>3.3387290187160398E-2</v>
      </c>
      <c r="U3" s="39" t="s">
        <v>17</v>
      </c>
      <c r="V3" s="38">
        <f>9.25*3600</f>
        <v>33300</v>
      </c>
      <c r="X3" s="80" t="s">
        <v>26</v>
      </c>
      <c r="Y3" s="79">
        <v>7834798</v>
      </c>
    </row>
    <row r="6" spans="2:25">
      <c r="B6" s="40" t="s">
        <v>16</v>
      </c>
      <c r="C6" s="40" t="s">
        <v>14</v>
      </c>
      <c r="E6" s="40" t="s">
        <v>16</v>
      </c>
      <c r="F6" s="41" t="s">
        <v>0</v>
      </c>
      <c r="G6" s="42" t="s">
        <v>1</v>
      </c>
      <c r="H6" s="42" t="s">
        <v>2</v>
      </c>
      <c r="I6" s="42" t="s">
        <v>3</v>
      </c>
      <c r="J6" s="42" t="s">
        <v>4</v>
      </c>
      <c r="K6" s="42" t="s">
        <v>5</v>
      </c>
      <c r="L6" s="43" t="s">
        <v>6</v>
      </c>
      <c r="M6" s="41" t="s">
        <v>7</v>
      </c>
      <c r="N6" s="42" t="s">
        <v>8</v>
      </c>
      <c r="O6" s="42" t="s">
        <v>9</v>
      </c>
      <c r="P6" s="42" t="s">
        <v>10</v>
      </c>
      <c r="Q6" s="42" t="s">
        <v>11</v>
      </c>
      <c r="R6" s="42" t="s">
        <v>12</v>
      </c>
      <c r="S6" s="43" t="s">
        <v>13</v>
      </c>
      <c r="U6" s="40" t="s">
        <v>16</v>
      </c>
      <c r="V6" s="40" t="s">
        <v>18</v>
      </c>
      <c r="X6" s="40" t="s">
        <v>16</v>
      </c>
      <c r="Y6" s="40" t="s">
        <v>19</v>
      </c>
    </row>
    <row r="7" spans="2:25">
      <c r="B7" s="44" t="s">
        <v>0</v>
      </c>
      <c r="C7" s="26">
        <v>0.53518929796793402</v>
      </c>
      <c r="E7" s="44" t="s">
        <v>0</v>
      </c>
      <c r="F7" s="29">
        <v>0.39333808477912902</v>
      </c>
      <c r="G7" s="31">
        <v>5.7335014463377403E-2</v>
      </c>
      <c r="H7" s="31">
        <v>3.1938202468483202E-2</v>
      </c>
      <c r="I7" s="31">
        <v>8.5775416835740706E-2</v>
      </c>
      <c r="J7" s="31">
        <v>7.9671694629496002E-3</v>
      </c>
      <c r="K7" s="31">
        <v>5.4221537536206198E-2</v>
      </c>
      <c r="L7" s="33">
        <v>5.52612743728879E-2</v>
      </c>
      <c r="M7" s="29">
        <v>6.9413874835648299E-3</v>
      </c>
      <c r="N7" s="31">
        <v>3.2451297547875103E-2</v>
      </c>
      <c r="O7" s="31">
        <v>3.72762350126525E-4</v>
      </c>
      <c r="P7" s="31">
        <v>5.2964971157036501E-2</v>
      </c>
      <c r="Q7" s="31">
        <v>3.1530141109194297E-2</v>
      </c>
      <c r="R7" s="31">
        <v>6.5642164419937102E-2</v>
      </c>
      <c r="S7" s="33">
        <v>9.68346946735128E-2</v>
      </c>
      <c r="U7" s="44" t="s">
        <v>0</v>
      </c>
      <c r="V7" s="8">
        <v>1.1545751351801186</v>
      </c>
      <c r="X7" s="44" t="s">
        <v>0</v>
      </c>
      <c r="Y7" s="47">
        <v>38678</v>
      </c>
    </row>
    <row r="8" spans="2:25">
      <c r="B8" s="45" t="s">
        <v>1</v>
      </c>
      <c r="C8" s="27">
        <v>0.70256426484755097</v>
      </c>
      <c r="E8" s="45" t="s">
        <v>1</v>
      </c>
      <c r="F8" s="32">
        <v>4.1243283557498199E-2</v>
      </c>
      <c r="G8" s="30">
        <v>0.37634718143700402</v>
      </c>
      <c r="H8" s="30">
        <v>1.7018291471972799E-2</v>
      </c>
      <c r="I8" s="30">
        <v>7.0032566206097893E-2</v>
      </c>
      <c r="J8" s="30">
        <v>3.49320987376166E-3</v>
      </c>
      <c r="K8" s="30">
        <v>4.3366917344522402E-2</v>
      </c>
      <c r="L8" s="34">
        <v>7.9963648219744193E-2</v>
      </c>
      <c r="M8" s="32">
        <v>5.7575899393591701E-2</v>
      </c>
      <c r="N8" s="30">
        <v>1.9197961744020799E-2</v>
      </c>
      <c r="O8" s="30">
        <v>3.0351318753288802E-2</v>
      </c>
      <c r="P8" s="30">
        <v>-3.0116819052774101E-2</v>
      </c>
      <c r="Q8" s="30">
        <v>-2.0028311064219798E-3</v>
      </c>
      <c r="R8" s="30">
        <v>6.2972875703747599E-2</v>
      </c>
      <c r="S8" s="34">
        <v>9.5804098530645795E-2</v>
      </c>
      <c r="U8" s="45" t="s">
        <v>1</v>
      </c>
      <c r="V8" s="9">
        <v>1.4017953594141639</v>
      </c>
      <c r="X8" s="45" t="s">
        <v>1</v>
      </c>
      <c r="Y8" s="48">
        <v>47581</v>
      </c>
    </row>
    <row r="9" spans="2:25">
      <c r="B9" s="45" t="s">
        <v>2</v>
      </c>
      <c r="C9" s="27">
        <v>0.104772667257835</v>
      </c>
      <c r="E9" s="45" t="s">
        <v>2</v>
      </c>
      <c r="F9" s="32">
        <v>2.4471903605458199E-3</v>
      </c>
      <c r="G9" s="30">
        <v>6.7191827498578195E-4</v>
      </c>
      <c r="H9" s="30">
        <v>7.4962453416156594E-2</v>
      </c>
      <c r="I9" s="30">
        <v>1.4978097676933901E-3</v>
      </c>
      <c r="J9" s="30">
        <v>6.1566615586447397E-3</v>
      </c>
      <c r="K9" s="30">
        <v>-3.5595365562638199E-5</v>
      </c>
      <c r="L9" s="34">
        <v>-1.4982784980235599E-3</v>
      </c>
      <c r="M9" s="32">
        <v>8.8187037875153305E-5</v>
      </c>
      <c r="N9" s="30">
        <v>2.32829780879491E-3</v>
      </c>
      <c r="O9" s="30">
        <v>-8.6233302318118295E-4</v>
      </c>
      <c r="P9" s="30">
        <v>2.5651735819466801E-3</v>
      </c>
      <c r="Q9" s="30">
        <v>5.5294980578047999E-3</v>
      </c>
      <c r="R9" s="30">
        <v>1.21448437078637E-3</v>
      </c>
      <c r="S9" s="34">
        <v>8.7835188807947496E-4</v>
      </c>
      <c r="U9" s="45" t="s">
        <v>2</v>
      </c>
      <c r="V9" s="9">
        <v>0.12135801499416118</v>
      </c>
      <c r="X9" s="45" t="s">
        <v>2</v>
      </c>
      <c r="Y9" s="48">
        <v>4199</v>
      </c>
    </row>
    <row r="10" spans="2:25">
      <c r="B10" s="45" t="s">
        <v>3</v>
      </c>
      <c r="C10" s="27">
        <v>7.4960988215726596E-2</v>
      </c>
      <c r="E10" s="45" t="s">
        <v>3</v>
      </c>
      <c r="F10" s="32">
        <v>6.2226383180827597E-3</v>
      </c>
      <c r="G10" s="30">
        <v>4.9504951607491103E-3</v>
      </c>
      <c r="H10" s="30">
        <v>1.7078345826599701E-3</v>
      </c>
      <c r="I10" s="30">
        <v>-3.6075901851358801E-3</v>
      </c>
      <c r="J10" s="30">
        <v>3.3006925548922702E-3</v>
      </c>
      <c r="K10" s="30">
        <v>9.4326811920502102E-2</v>
      </c>
      <c r="L10" s="34">
        <v>1.5478230926690401E-2</v>
      </c>
      <c r="M10" s="32">
        <v>4.1146918057986702E-3</v>
      </c>
      <c r="N10" s="30">
        <v>4.7622244242812896E-3</v>
      </c>
      <c r="O10" s="30">
        <v>-2.5855480836690199E-4</v>
      </c>
      <c r="P10" s="30">
        <v>-7.6351775926445297E-4</v>
      </c>
      <c r="Q10" s="30">
        <v>4.0278178828526698E-4</v>
      </c>
      <c r="R10" s="30">
        <v>1.6262713816809701E-2</v>
      </c>
      <c r="S10" s="34">
        <v>4.5347171390928601E-2</v>
      </c>
      <c r="U10" s="45" t="s">
        <v>3</v>
      </c>
      <c r="V10" s="9">
        <v>0.11001246842034405</v>
      </c>
      <c r="X10" s="45" t="s">
        <v>3</v>
      </c>
      <c r="Y10" s="48">
        <v>3692</v>
      </c>
    </row>
    <row r="11" spans="2:25">
      <c r="B11" s="45" t="s">
        <v>4</v>
      </c>
      <c r="C11" s="27">
        <v>2.2412680624724599E-2</v>
      </c>
      <c r="E11" s="45" t="s">
        <v>4</v>
      </c>
      <c r="F11" s="32">
        <v>-9.5147050198429806E-5</v>
      </c>
      <c r="G11" s="30">
        <v>1.9759123468192699E-4</v>
      </c>
      <c r="H11" s="30">
        <v>3.1122852090647202E-3</v>
      </c>
      <c r="I11" s="30">
        <v>1.25135736058503E-3</v>
      </c>
      <c r="J11" s="30">
        <v>-5.9324822708124803E-3</v>
      </c>
      <c r="K11" s="30">
        <v>3.1178409624240599E-3</v>
      </c>
      <c r="L11" s="34">
        <v>-7.5523759042768804E-4</v>
      </c>
      <c r="M11" s="32">
        <v>1.7123687731292799E-4</v>
      </c>
      <c r="N11" s="30">
        <v>2.5468109670667E-4</v>
      </c>
      <c r="O11" s="30">
        <v>-5.9918335869714998E-4</v>
      </c>
      <c r="P11" s="30">
        <v>4.3857797995441102E-4</v>
      </c>
      <c r="Q11" s="30">
        <v>1.7250074928351301E-3</v>
      </c>
      <c r="R11" s="30">
        <v>5.5038115476256004E-4</v>
      </c>
      <c r="S11" s="34">
        <v>3.6784800534303498E-4</v>
      </c>
      <c r="U11" s="45" t="s">
        <v>4</v>
      </c>
      <c r="V11" s="9">
        <v>2.3729921727735134E-2</v>
      </c>
      <c r="X11" s="45" t="s">
        <v>4</v>
      </c>
      <c r="Y11" s="48">
        <v>803</v>
      </c>
    </row>
    <row r="12" spans="2:25">
      <c r="B12" s="45" t="s">
        <v>5</v>
      </c>
      <c r="C12" s="27">
        <v>5.1322646071090203E-2</v>
      </c>
      <c r="E12" s="45" t="s">
        <v>5</v>
      </c>
      <c r="F12" s="32">
        <v>2.2835460302872601E-3</v>
      </c>
      <c r="G12" s="30">
        <v>5.2265817796300702E-4</v>
      </c>
      <c r="H12" s="30">
        <v>2.1378141978207602E-2</v>
      </c>
      <c r="I12" s="30">
        <v>-1.96109371734838E-3</v>
      </c>
      <c r="J12" s="30">
        <v>-1.00963044765619E-3</v>
      </c>
      <c r="K12" s="30">
        <v>-6.52284809838662E-4</v>
      </c>
      <c r="L12" s="34">
        <v>-2.7341248495544798E-3</v>
      </c>
      <c r="M12" s="32">
        <v>1.7778444072567601E-4</v>
      </c>
      <c r="N12" s="30">
        <v>2.5443357434615098E-3</v>
      </c>
      <c r="O12" s="30">
        <v>-1.0751169224511E-4</v>
      </c>
      <c r="P12" s="30">
        <v>1.0152654207394401E-2</v>
      </c>
      <c r="Q12" s="30">
        <v>8.3493711327698797E-3</v>
      </c>
      <c r="R12" s="30">
        <v>-1.0472415122905899E-3</v>
      </c>
      <c r="S12" s="34">
        <v>-6.6693234913382804E-4</v>
      </c>
      <c r="U12" s="45" t="s">
        <v>5</v>
      </c>
      <c r="V12" s="9">
        <v>6.1510966572736248E-2</v>
      </c>
      <c r="X12" s="45" t="s">
        <v>5</v>
      </c>
      <c r="Y12" s="48">
        <v>2031</v>
      </c>
    </row>
    <row r="13" spans="2:25">
      <c r="B13" s="46" t="s">
        <v>6</v>
      </c>
      <c r="C13" s="28">
        <v>3.3017824876450899E-2</v>
      </c>
      <c r="E13" s="46" t="s">
        <v>6</v>
      </c>
      <c r="F13" s="37">
        <v>3.6684213933323101E-3</v>
      </c>
      <c r="G13" s="36">
        <v>1.7434283524032899E-3</v>
      </c>
      <c r="H13" s="36">
        <v>2.5334860631527501E-3</v>
      </c>
      <c r="I13" s="36">
        <v>-2.31259904188605E-4</v>
      </c>
      <c r="J13" s="36">
        <v>-1.8399282758147901E-3</v>
      </c>
      <c r="K13" s="36">
        <v>-7.3799606772789197E-4</v>
      </c>
      <c r="L13" s="35">
        <v>-3.7638981638834202E-3</v>
      </c>
      <c r="M13" s="37">
        <v>-6.5616434783010802E-4</v>
      </c>
      <c r="N13" s="36">
        <v>3.08463214715052E-3</v>
      </c>
      <c r="O13" s="36">
        <v>-1.12493483439554E-3</v>
      </c>
      <c r="P13" s="36">
        <v>5.60558175961067E-2</v>
      </c>
      <c r="Q13" s="36">
        <v>8.9657628964895496E-3</v>
      </c>
      <c r="R13" s="36">
        <v>4.3054136961228901E-4</v>
      </c>
      <c r="S13" s="35">
        <v>6.3636681013586104E-4</v>
      </c>
      <c r="U13" s="46" t="s">
        <v>6</v>
      </c>
      <c r="V13" s="10">
        <v>4.9037702058958486E-2</v>
      </c>
      <c r="X13" s="46" t="s">
        <v>6</v>
      </c>
      <c r="Y13" s="49">
        <v>1677</v>
      </c>
    </row>
    <row r="14" spans="2:25">
      <c r="B14" s="44" t="s">
        <v>7</v>
      </c>
      <c r="C14" s="8">
        <v>0.59216568065030994</v>
      </c>
      <c r="E14" s="44" t="s">
        <v>7</v>
      </c>
      <c r="F14" s="11">
        <v>1.35688431217747E-2</v>
      </c>
      <c r="G14" s="12">
        <v>3.4575642010581199E-2</v>
      </c>
      <c r="H14" s="12">
        <v>1.1625969525522199E-3</v>
      </c>
      <c r="I14" s="12">
        <v>7.9251438227665297E-2</v>
      </c>
      <c r="J14" s="12">
        <v>2.5117668914954601E-2</v>
      </c>
      <c r="K14" s="12">
        <v>8.1599348631065202E-2</v>
      </c>
      <c r="L14" s="13">
        <v>0.127761143591787</v>
      </c>
      <c r="M14" s="11">
        <v>0.413192260430645</v>
      </c>
      <c r="N14" s="12">
        <v>5.2822098015012697E-2</v>
      </c>
      <c r="O14" s="12">
        <v>3.8072845669722299E-2</v>
      </c>
      <c r="P14" s="12">
        <v>7.0582725192768203E-2</v>
      </c>
      <c r="Q14" s="12">
        <v>1.9378310882524698E-2</v>
      </c>
      <c r="R14" s="12">
        <v>6.0522712339790001E-2</v>
      </c>
      <c r="S14" s="13">
        <v>7.3938152952921096E-2</v>
      </c>
      <c r="U14" s="44" t="s">
        <v>7</v>
      </c>
      <c r="V14" s="8">
        <v>1.3006822643156493</v>
      </c>
      <c r="X14" s="44" t="s">
        <v>7</v>
      </c>
      <c r="Y14" s="47">
        <v>42878</v>
      </c>
    </row>
    <row r="15" spans="2:25">
      <c r="B15" s="45" t="s">
        <v>8</v>
      </c>
      <c r="C15" s="9">
        <v>0.62874022819505004</v>
      </c>
      <c r="E15" s="45" t="s">
        <v>8</v>
      </c>
      <c r="F15" s="14">
        <v>5.5635054663094097E-2</v>
      </c>
      <c r="G15" s="15">
        <v>1.45272127107367E-2</v>
      </c>
      <c r="H15" s="15">
        <v>2.6291449661879799E-2</v>
      </c>
      <c r="I15" s="15">
        <v>-3.5524753203823603E-2</v>
      </c>
      <c r="J15" s="15">
        <v>-3.96929986071124E-3</v>
      </c>
      <c r="K15" s="15">
        <v>5.2769505136874499E-2</v>
      </c>
      <c r="L15" s="16">
        <v>6.1220459023021701E-2</v>
      </c>
      <c r="M15" s="14">
        <v>4.7776080707363902E-2</v>
      </c>
      <c r="N15" s="15">
        <v>0.36697475223225601</v>
      </c>
      <c r="O15" s="15">
        <v>8.5339458163966996E-3</v>
      </c>
      <c r="P15" s="15">
        <v>7.1103108360798903E-2</v>
      </c>
      <c r="Q15" s="15">
        <v>1.6702642200636299E-2</v>
      </c>
      <c r="R15" s="15">
        <v>4.1031060816339997E-2</v>
      </c>
      <c r="S15" s="16">
        <v>7.9504899077649002E-2</v>
      </c>
      <c r="U15" s="45" t="s">
        <v>8</v>
      </c>
      <c r="V15" s="9">
        <v>1.2582539332841332</v>
      </c>
      <c r="X15" s="45" t="s">
        <v>8</v>
      </c>
      <c r="Y15" s="48">
        <v>42240</v>
      </c>
    </row>
    <row r="16" spans="2:25">
      <c r="B16" s="45" t="s">
        <v>9</v>
      </c>
      <c r="C16" s="9">
        <v>9.2683657765842406E-2</v>
      </c>
      <c r="E16" s="45" t="s">
        <v>9</v>
      </c>
      <c r="F16" s="14">
        <v>4.2824322408129901E-4</v>
      </c>
      <c r="G16" s="15">
        <v>2.3081217243233199E-3</v>
      </c>
      <c r="H16" s="15">
        <v>6.8291351766502104E-4</v>
      </c>
      <c r="I16" s="15">
        <v>1.3504545393826701E-3</v>
      </c>
      <c r="J16" s="15">
        <v>2.7953213566203798E-3</v>
      </c>
      <c r="K16" s="15">
        <v>1.12952027321433E-3</v>
      </c>
      <c r="L16" s="16">
        <v>-1.49288730011319E-3</v>
      </c>
      <c r="M16" s="14">
        <v>2.1717834754169801E-3</v>
      </c>
      <c r="N16" s="15">
        <v>7.1597887373547897E-4</v>
      </c>
      <c r="O16" s="15">
        <v>6.8505805444524101E-2</v>
      </c>
      <c r="P16" s="15">
        <v>-6.1617667759344302E-4</v>
      </c>
      <c r="Q16" s="15">
        <v>1.06249174366454E-2</v>
      </c>
      <c r="R16" s="15">
        <v>4.3415718582100003E-3</v>
      </c>
      <c r="S16" s="16">
        <v>-2.69330622343106E-3</v>
      </c>
      <c r="U16" s="45" t="s">
        <v>9</v>
      </c>
      <c r="V16" s="9">
        <v>0.10817500228292913</v>
      </c>
      <c r="X16" s="45" t="s">
        <v>9</v>
      </c>
      <c r="Y16" s="48">
        <v>3593</v>
      </c>
    </row>
    <row r="17" spans="2:25">
      <c r="B17" s="45" t="s">
        <v>10</v>
      </c>
      <c r="C17" s="9">
        <v>7.4347006034703095E-2</v>
      </c>
      <c r="E17" s="45" t="s">
        <v>10</v>
      </c>
      <c r="F17" s="14">
        <v>5.2763906954544498E-3</v>
      </c>
      <c r="G17" s="15">
        <v>3.6308283292819602E-3</v>
      </c>
      <c r="H17" s="15">
        <v>-3.9376790106783601E-4</v>
      </c>
      <c r="I17" s="15">
        <v>-2.18389786410342E-4</v>
      </c>
      <c r="J17" s="15">
        <v>1.7870627967296201E-3</v>
      </c>
      <c r="K17" s="15">
        <v>1.0145107295558699E-2</v>
      </c>
      <c r="L17" s="16">
        <v>3.4601601979008599E-2</v>
      </c>
      <c r="M17" s="14">
        <v>5.6739593864322804E-3</v>
      </c>
      <c r="N17" s="15">
        <v>4.8573308692465003E-3</v>
      </c>
      <c r="O17" s="15">
        <v>7.9599376850471998E-3</v>
      </c>
      <c r="P17" s="15">
        <v>-6.85569246833508E-3</v>
      </c>
      <c r="Q17" s="15">
        <v>-1.85377325126083E-3</v>
      </c>
      <c r="R17" s="15">
        <v>0.11994143703609</v>
      </c>
      <c r="S17" s="16">
        <v>1.6599085609855201E-2</v>
      </c>
      <c r="U17" s="45" t="s">
        <v>10</v>
      </c>
      <c r="V17" s="9">
        <v>0.10972977861672661</v>
      </c>
      <c r="X17" s="45" t="s">
        <v>10</v>
      </c>
      <c r="Y17" s="48">
        <v>3748</v>
      </c>
    </row>
    <row r="18" spans="2:25">
      <c r="B18" s="45" t="s">
        <v>11</v>
      </c>
      <c r="C18" s="9">
        <v>2.2015558423844599E-2</v>
      </c>
      <c r="E18" s="45" t="s">
        <v>11</v>
      </c>
      <c r="F18" s="14">
        <v>1.1311847741901101E-4</v>
      </c>
      <c r="G18" s="15">
        <v>3.5260817651005399E-4</v>
      </c>
      <c r="H18" s="15">
        <v>2.0670601367960901E-4</v>
      </c>
      <c r="I18" s="15">
        <v>4.1787836017759799E-3</v>
      </c>
      <c r="J18" s="15">
        <v>4.3663951882746601E-3</v>
      </c>
      <c r="K18" s="15">
        <v>1.92850154646537E-4</v>
      </c>
      <c r="L18" s="16">
        <v>-1.30660910837738E-3</v>
      </c>
      <c r="M18" s="14">
        <v>3.5673120954519602E-4</v>
      </c>
      <c r="N18" s="15">
        <v>2.74063476377948E-4</v>
      </c>
      <c r="O18" s="15">
        <v>2.0479158502291901E-4</v>
      </c>
      <c r="P18" s="15">
        <v>1.2924735981037301E-3</v>
      </c>
      <c r="Q18" s="15">
        <v>-5.1469385806720397E-4</v>
      </c>
      <c r="R18" s="15">
        <v>-2.0207781220306801E-4</v>
      </c>
      <c r="S18" s="16">
        <v>1.3155710503089499E-3</v>
      </c>
      <c r="U18" s="45" t="s">
        <v>11</v>
      </c>
      <c r="V18" s="9">
        <v>2.4188497548199381E-2</v>
      </c>
      <c r="X18" s="45" t="s">
        <v>11</v>
      </c>
      <c r="Y18" s="48">
        <v>773</v>
      </c>
    </row>
    <row r="19" spans="2:25">
      <c r="B19" s="45" t="s">
        <v>12</v>
      </c>
      <c r="C19" s="9">
        <v>5.1229536490832499E-2</v>
      </c>
      <c r="E19" s="45" t="s">
        <v>12</v>
      </c>
      <c r="F19" s="14">
        <v>-8.3029086270789402E-5</v>
      </c>
      <c r="G19" s="15">
        <v>2.4329996221480899E-3</v>
      </c>
      <c r="H19" s="15">
        <v>1.5086518017022701E-3</v>
      </c>
      <c r="I19" s="15">
        <v>8.1474314522958103E-3</v>
      </c>
      <c r="J19" s="15">
        <v>1.0770596860246499E-2</v>
      </c>
      <c r="K19" s="15">
        <v>-1.5767392840354601E-4</v>
      </c>
      <c r="L19" s="16">
        <v>5.7046956937316503E-4</v>
      </c>
      <c r="M19" s="14">
        <v>2.1136916570541702E-3</v>
      </c>
      <c r="N19" s="15">
        <v>2.64925242268868E-4</v>
      </c>
      <c r="O19" s="15">
        <v>3.5690077588397998E-2</v>
      </c>
      <c r="P19" s="15">
        <v>7.2654834095284998E-4</v>
      </c>
      <c r="Q19" s="15">
        <v>-2.5234115831993401E-3</v>
      </c>
      <c r="R19" s="15">
        <v>8.71458269321181E-4</v>
      </c>
      <c r="S19" s="16">
        <v>-3.4328866561506699E-4</v>
      </c>
      <c r="U19" s="45" t="s">
        <v>12</v>
      </c>
      <c r="V19" s="9">
        <v>6.2897615441351709E-2</v>
      </c>
      <c r="X19" s="45" t="s">
        <v>12</v>
      </c>
      <c r="Y19" s="48">
        <v>2056</v>
      </c>
    </row>
    <row r="20" spans="2:25">
      <c r="B20" s="46" t="s">
        <v>13</v>
      </c>
      <c r="C20" s="10">
        <v>3.3387290187160398E-2</v>
      </c>
      <c r="E20" s="46" t="s">
        <v>13</v>
      </c>
      <c r="F20" s="17">
        <v>-4.8920141254981699E-4</v>
      </c>
      <c r="G20" s="18">
        <v>2.3817776077362401E-3</v>
      </c>
      <c r="H20" s="18">
        <v>5.0702294071367404E-4</v>
      </c>
      <c r="I20" s="18">
        <v>5.8433089635560098E-2</v>
      </c>
      <c r="J20" s="18">
        <v>3.0191106587354201E-3</v>
      </c>
      <c r="K20" s="18">
        <v>-7.96807645734532E-4</v>
      </c>
      <c r="L20" s="19">
        <v>-1.5040310900077301E-3</v>
      </c>
      <c r="M20" s="17">
        <v>2.84353610725065E-3</v>
      </c>
      <c r="N20" s="18">
        <v>2.0112317258197399E-3</v>
      </c>
      <c r="O20" s="18">
        <v>3.6901139167655902E-3</v>
      </c>
      <c r="P20" s="18">
        <v>-5.3094750092724005E-4</v>
      </c>
      <c r="Q20" s="18">
        <v>-2.1551030119677699E-3</v>
      </c>
      <c r="R20" s="18">
        <v>-2.2540350058386301E-3</v>
      </c>
      <c r="S20" s="19">
        <v>-3.7351946564871102E-3</v>
      </c>
      <c r="U20" s="46" t="s">
        <v>13</v>
      </c>
      <c r="V20" s="10">
        <v>4.8793949059702343E-2</v>
      </c>
      <c r="X20" s="46" t="s">
        <v>13</v>
      </c>
      <c r="Y20" s="49">
        <v>1657</v>
      </c>
    </row>
    <row r="22" spans="2:25">
      <c r="B22" s="24" t="s">
        <v>15</v>
      </c>
      <c r="C22" s="25">
        <v>43900</v>
      </c>
      <c r="E22" s="76" t="s">
        <v>39</v>
      </c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8"/>
      <c r="V22" s="54">
        <f>Y22/V3</f>
        <v>5.8740540540540538</v>
      </c>
      <c r="X22" s="53" t="s">
        <v>20</v>
      </c>
      <c r="Y22" s="51">
        <f>SUM(Y7:Y20)</f>
        <v>195606</v>
      </c>
    </row>
    <row r="24" spans="2:25">
      <c r="C24" s="7" t="s">
        <v>14</v>
      </c>
      <c r="F24" s="4" t="s">
        <v>0</v>
      </c>
      <c r="G24" s="5" t="s">
        <v>1</v>
      </c>
      <c r="H24" s="5" t="s">
        <v>2</v>
      </c>
      <c r="I24" s="5" t="s">
        <v>3</v>
      </c>
      <c r="J24" s="5" t="s">
        <v>4</v>
      </c>
      <c r="K24" s="5" t="s">
        <v>5</v>
      </c>
      <c r="L24" s="6" t="s">
        <v>6</v>
      </c>
      <c r="M24" s="4" t="s">
        <v>7</v>
      </c>
      <c r="N24" s="5" t="s">
        <v>8</v>
      </c>
      <c r="O24" s="5" t="s">
        <v>9</v>
      </c>
      <c r="P24" s="5" t="s">
        <v>10</v>
      </c>
      <c r="Q24" s="5" t="s">
        <v>11</v>
      </c>
      <c r="R24" s="5" t="s">
        <v>12</v>
      </c>
      <c r="S24" s="6" t="s">
        <v>13</v>
      </c>
    </row>
    <row r="25" spans="2:25">
      <c r="B25" s="1" t="s">
        <v>0</v>
      </c>
      <c r="C25" s="8">
        <v>0.53518929796793402</v>
      </c>
      <c r="E25" s="1" t="s">
        <v>0</v>
      </c>
      <c r="F25" s="11">
        <v>0.39333808477912902</v>
      </c>
      <c r="G25" s="12">
        <v>5.7335014463377403E-2</v>
      </c>
      <c r="H25" s="12">
        <v>3.1938202468483202E-2</v>
      </c>
      <c r="I25" s="12">
        <v>8.5775416835740706E-2</v>
      </c>
      <c r="J25" s="12">
        <v>7.9671694629496002E-3</v>
      </c>
      <c r="K25" s="12">
        <v>5.4221537536206198E-2</v>
      </c>
      <c r="L25" s="13">
        <v>5.52612743728879E-2</v>
      </c>
      <c r="M25" s="11">
        <v>6.9413874835648299E-3</v>
      </c>
      <c r="N25" s="12">
        <v>3.2451297547875103E-2</v>
      </c>
      <c r="O25" s="12">
        <v>3.72762350126525E-4</v>
      </c>
      <c r="P25" s="12">
        <v>5.2964971157036501E-2</v>
      </c>
      <c r="Q25" s="12">
        <v>3.1530141109194297E-2</v>
      </c>
      <c r="R25" s="12">
        <v>6.5642164419937102E-2</v>
      </c>
      <c r="S25" s="13">
        <v>9.68346946735128E-2</v>
      </c>
    </row>
    <row r="26" spans="2:25">
      <c r="B26" s="2" t="s">
        <v>1</v>
      </c>
      <c r="C26" s="9">
        <v>0.70256426484755097</v>
      </c>
      <c r="E26" s="2" t="s">
        <v>1</v>
      </c>
      <c r="F26" s="14">
        <v>4.1243283557498199E-2</v>
      </c>
      <c r="G26" s="15">
        <v>0.37634718143700402</v>
      </c>
      <c r="H26" s="15">
        <v>1.7018291471972799E-2</v>
      </c>
      <c r="I26" s="15">
        <v>7.0032566206097893E-2</v>
      </c>
      <c r="J26" s="15">
        <v>3.49320987376166E-3</v>
      </c>
      <c r="K26" s="15">
        <v>4.3366917344522402E-2</v>
      </c>
      <c r="L26" s="16">
        <v>7.9963648219744193E-2</v>
      </c>
      <c r="M26" s="14">
        <v>5.7575899393591701E-2</v>
      </c>
      <c r="N26" s="15">
        <v>1.9197961744020799E-2</v>
      </c>
      <c r="O26" s="15">
        <v>3.0351318753288802E-2</v>
      </c>
      <c r="P26" s="15">
        <v>-3.0116819052774101E-2</v>
      </c>
      <c r="Q26" s="15">
        <v>-2.0028311064219798E-3</v>
      </c>
      <c r="R26" s="15">
        <v>6.2972875703747599E-2</v>
      </c>
      <c r="S26" s="16">
        <v>9.5804098530645795E-2</v>
      </c>
    </row>
    <row r="27" spans="2:25">
      <c r="B27" s="2" t="s">
        <v>2</v>
      </c>
      <c r="C27" s="9">
        <v>0.104772667257835</v>
      </c>
      <c r="E27" s="2" t="s">
        <v>2</v>
      </c>
      <c r="F27" s="14">
        <v>2.4471903605458199E-3</v>
      </c>
      <c r="G27" s="15">
        <v>6.7191827498578195E-4</v>
      </c>
      <c r="H27" s="15">
        <v>7.4962453416156594E-2</v>
      </c>
      <c r="I27" s="15">
        <v>1.4978097676933901E-3</v>
      </c>
      <c r="J27" s="15">
        <v>6.1566615586447397E-3</v>
      </c>
      <c r="K27" s="15">
        <v>-3.5595365562638199E-5</v>
      </c>
      <c r="L27" s="16">
        <v>-1.4982784980235599E-3</v>
      </c>
      <c r="M27" s="14">
        <v>8.8187037875153305E-5</v>
      </c>
      <c r="N27" s="15">
        <v>2.32829780879491E-3</v>
      </c>
      <c r="O27" s="15">
        <v>-8.6233302318118295E-4</v>
      </c>
      <c r="P27" s="15">
        <v>2.5651735819466801E-3</v>
      </c>
      <c r="Q27" s="15">
        <v>5.5294980578047999E-3</v>
      </c>
      <c r="R27" s="15">
        <v>1.21448437078637E-3</v>
      </c>
      <c r="S27" s="16">
        <v>8.7835188807947496E-4</v>
      </c>
    </row>
    <row r="28" spans="2:25">
      <c r="B28" s="2" t="s">
        <v>3</v>
      </c>
      <c r="C28" s="9">
        <v>7.4960988215726596E-2</v>
      </c>
      <c r="E28" s="2" t="s">
        <v>3</v>
      </c>
      <c r="F28" s="14">
        <v>6.2226383180827597E-3</v>
      </c>
      <c r="G28" s="15">
        <v>4.9504951607491103E-3</v>
      </c>
      <c r="H28" s="15">
        <v>1.7078345826599701E-3</v>
      </c>
      <c r="I28" s="15">
        <v>-3.6075901851358801E-3</v>
      </c>
      <c r="J28" s="15">
        <v>3.3006925548922702E-3</v>
      </c>
      <c r="K28" s="15">
        <v>9.4326811920502102E-2</v>
      </c>
      <c r="L28" s="16">
        <v>1.5478230926690401E-2</v>
      </c>
      <c r="M28" s="14">
        <v>4.1146918057986702E-3</v>
      </c>
      <c r="N28" s="15">
        <v>4.7622244242812896E-3</v>
      </c>
      <c r="O28" s="15">
        <v>-2.5855480836690199E-4</v>
      </c>
      <c r="P28" s="15">
        <v>-7.6351775926445297E-4</v>
      </c>
      <c r="Q28" s="15">
        <v>4.0278178828526698E-4</v>
      </c>
      <c r="R28" s="15">
        <v>1.6262713816809701E-2</v>
      </c>
      <c r="S28" s="16">
        <v>4.5347171390928601E-2</v>
      </c>
    </row>
    <row r="29" spans="2:25">
      <c r="B29" s="2" t="s">
        <v>4</v>
      </c>
      <c r="C29" s="9">
        <v>2.2412680624724599E-2</v>
      </c>
      <c r="E29" s="2" t="s">
        <v>4</v>
      </c>
      <c r="F29" s="14">
        <v>-9.5147050198429806E-5</v>
      </c>
      <c r="G29" s="15">
        <v>1.9759123468192699E-4</v>
      </c>
      <c r="H29" s="15">
        <v>3.1122852090647202E-3</v>
      </c>
      <c r="I29" s="15">
        <v>1.25135736058503E-3</v>
      </c>
      <c r="J29" s="15">
        <v>-5.9324822708124803E-3</v>
      </c>
      <c r="K29" s="15">
        <v>3.1178409624240599E-3</v>
      </c>
      <c r="L29" s="16">
        <v>-7.5523759042768804E-4</v>
      </c>
      <c r="M29" s="14">
        <v>1.7123687731292799E-4</v>
      </c>
      <c r="N29" s="15">
        <v>2.5468109670667E-4</v>
      </c>
      <c r="O29" s="15">
        <v>-5.9918335869714998E-4</v>
      </c>
      <c r="P29" s="15">
        <v>4.3857797995441102E-4</v>
      </c>
      <c r="Q29" s="15">
        <v>1.7250074928351301E-3</v>
      </c>
      <c r="R29" s="15">
        <v>5.5038115476256004E-4</v>
      </c>
      <c r="S29" s="16">
        <v>3.6784800534303498E-4</v>
      </c>
    </row>
    <row r="30" spans="2:25">
      <c r="B30" s="2" t="s">
        <v>5</v>
      </c>
      <c r="C30" s="9">
        <v>5.1322646071090203E-2</v>
      </c>
      <c r="E30" s="2" t="s">
        <v>5</v>
      </c>
      <c r="F30" s="14">
        <v>2.2835460302872601E-3</v>
      </c>
      <c r="G30" s="15">
        <v>5.2265817796300702E-4</v>
      </c>
      <c r="H30" s="15">
        <v>2.1378141978207602E-2</v>
      </c>
      <c r="I30" s="15">
        <v>-1.96109371734838E-3</v>
      </c>
      <c r="J30" s="15">
        <v>-1.00963044765619E-3</v>
      </c>
      <c r="K30" s="15">
        <v>-6.52284809838662E-4</v>
      </c>
      <c r="L30" s="16">
        <v>-2.7341248495544798E-3</v>
      </c>
      <c r="M30" s="14">
        <v>1.7778444072567601E-4</v>
      </c>
      <c r="N30" s="15">
        <v>2.5443357434615098E-3</v>
      </c>
      <c r="O30" s="15">
        <v>-1.0751169224511E-4</v>
      </c>
      <c r="P30" s="15">
        <v>1.0152654207394401E-2</v>
      </c>
      <c r="Q30" s="15">
        <v>8.3493711327698797E-3</v>
      </c>
      <c r="R30" s="15">
        <v>-1.0472415122905899E-3</v>
      </c>
      <c r="S30" s="16">
        <v>-6.6693234913382804E-4</v>
      </c>
    </row>
    <row r="31" spans="2:25">
      <c r="B31" s="3" t="s">
        <v>6</v>
      </c>
      <c r="C31" s="10">
        <v>3.3017824876450899E-2</v>
      </c>
      <c r="E31" s="3" t="s">
        <v>6</v>
      </c>
      <c r="F31" s="17">
        <v>3.6684213933323101E-3</v>
      </c>
      <c r="G31" s="18">
        <v>1.7434283524032899E-3</v>
      </c>
      <c r="H31" s="18">
        <v>2.5334860631527501E-3</v>
      </c>
      <c r="I31" s="18">
        <v>-2.31259904188605E-4</v>
      </c>
      <c r="J31" s="18">
        <v>-1.8399282758147901E-3</v>
      </c>
      <c r="K31" s="18">
        <v>-7.3799606772789197E-4</v>
      </c>
      <c r="L31" s="19">
        <v>-3.7638981638834202E-3</v>
      </c>
      <c r="M31" s="17">
        <v>-6.5616434783010802E-4</v>
      </c>
      <c r="N31" s="18">
        <v>3.08463214715052E-3</v>
      </c>
      <c r="O31" s="18">
        <v>-1.12493483439554E-3</v>
      </c>
      <c r="P31" s="18">
        <v>5.60558175961067E-2</v>
      </c>
      <c r="Q31" s="18">
        <v>8.9657628964895496E-3</v>
      </c>
      <c r="R31" s="18">
        <v>4.3054136961228901E-4</v>
      </c>
      <c r="S31" s="19">
        <v>6.3636681013586104E-4</v>
      </c>
    </row>
    <row r="32" spans="2:25">
      <c r="B32" s="1" t="s">
        <v>7</v>
      </c>
      <c r="C32" s="8">
        <v>0.59216568065030994</v>
      </c>
      <c r="E32" s="1" t="s">
        <v>7</v>
      </c>
      <c r="F32" s="11">
        <v>1.35688431217747E-2</v>
      </c>
      <c r="G32" s="12">
        <v>3.4575642010581199E-2</v>
      </c>
      <c r="H32" s="12">
        <v>1.1625969525522199E-3</v>
      </c>
      <c r="I32" s="12">
        <v>7.9251438227665297E-2</v>
      </c>
      <c r="J32" s="12">
        <v>2.5117668914954601E-2</v>
      </c>
      <c r="K32" s="12">
        <v>8.1599348631065202E-2</v>
      </c>
      <c r="L32" s="13">
        <v>0.127761143591787</v>
      </c>
      <c r="M32" s="11">
        <v>0.413192260430645</v>
      </c>
      <c r="N32" s="12">
        <v>5.2822098015012697E-2</v>
      </c>
      <c r="O32" s="12">
        <v>3.8072845669722299E-2</v>
      </c>
      <c r="P32" s="12">
        <v>7.0582725192768203E-2</v>
      </c>
      <c r="Q32" s="12">
        <v>1.9378310882524698E-2</v>
      </c>
      <c r="R32" s="12">
        <v>6.0522712339790001E-2</v>
      </c>
      <c r="S32" s="13">
        <v>7.3938152952921096E-2</v>
      </c>
    </row>
    <row r="33" spans="2:26">
      <c r="B33" s="2" t="s">
        <v>8</v>
      </c>
      <c r="C33" s="9">
        <v>0.62874022819505004</v>
      </c>
      <c r="E33" s="2" t="s">
        <v>8</v>
      </c>
      <c r="F33" s="14">
        <v>5.5635054663094097E-2</v>
      </c>
      <c r="G33" s="15">
        <v>1.45272127107367E-2</v>
      </c>
      <c r="H33" s="15">
        <v>2.6291449661879799E-2</v>
      </c>
      <c r="I33" s="15">
        <v>-3.5524753203823603E-2</v>
      </c>
      <c r="J33" s="15">
        <v>-3.96929986071124E-3</v>
      </c>
      <c r="K33" s="15">
        <v>5.2769505136874499E-2</v>
      </c>
      <c r="L33" s="16">
        <v>6.1220459023021701E-2</v>
      </c>
      <c r="M33" s="14">
        <v>4.7776080707363902E-2</v>
      </c>
      <c r="N33" s="15">
        <v>0.36697475223225601</v>
      </c>
      <c r="O33" s="15">
        <v>8.5339458163966996E-3</v>
      </c>
      <c r="P33" s="15">
        <v>7.1103108360798903E-2</v>
      </c>
      <c r="Q33" s="15">
        <v>1.6702642200636299E-2</v>
      </c>
      <c r="R33" s="15">
        <v>4.1031060816339997E-2</v>
      </c>
      <c r="S33" s="16">
        <v>7.9504899077649002E-2</v>
      </c>
    </row>
    <row r="34" spans="2:26">
      <c r="B34" s="2" t="s">
        <v>9</v>
      </c>
      <c r="C34" s="9">
        <v>9.2683657765842406E-2</v>
      </c>
      <c r="E34" s="2" t="s">
        <v>9</v>
      </c>
      <c r="F34" s="14">
        <v>4.2824322408129901E-4</v>
      </c>
      <c r="G34" s="15">
        <v>2.3081217243233199E-3</v>
      </c>
      <c r="H34" s="15">
        <v>6.8291351766502104E-4</v>
      </c>
      <c r="I34" s="15">
        <v>1.3504545393826701E-3</v>
      </c>
      <c r="J34" s="15">
        <v>2.7953213566203798E-3</v>
      </c>
      <c r="K34" s="15">
        <v>1.12952027321433E-3</v>
      </c>
      <c r="L34" s="16">
        <v>-1.49288730011319E-3</v>
      </c>
      <c r="M34" s="14">
        <v>2.1717834754169801E-3</v>
      </c>
      <c r="N34" s="15">
        <v>7.1597887373547897E-4</v>
      </c>
      <c r="O34" s="15">
        <v>6.8505805444524101E-2</v>
      </c>
      <c r="P34" s="15">
        <v>-6.1617667759344302E-4</v>
      </c>
      <c r="Q34" s="15">
        <v>1.06249174366454E-2</v>
      </c>
      <c r="R34" s="15">
        <v>4.3415718582100003E-3</v>
      </c>
      <c r="S34" s="16">
        <v>-2.69330622343106E-3</v>
      </c>
    </row>
    <row r="35" spans="2:26">
      <c r="B35" s="2" t="s">
        <v>10</v>
      </c>
      <c r="C35" s="9">
        <v>7.4347006034703095E-2</v>
      </c>
      <c r="E35" s="2" t="s">
        <v>10</v>
      </c>
      <c r="F35" s="14">
        <v>5.2763906954544498E-3</v>
      </c>
      <c r="G35" s="15">
        <v>3.6308283292819602E-3</v>
      </c>
      <c r="H35" s="15">
        <v>-3.9376790106783601E-4</v>
      </c>
      <c r="I35" s="15">
        <v>-2.18389786410342E-4</v>
      </c>
      <c r="J35" s="15">
        <v>1.7870627967296201E-3</v>
      </c>
      <c r="K35" s="15">
        <v>1.0145107295558699E-2</v>
      </c>
      <c r="L35" s="16">
        <v>3.4601601979008599E-2</v>
      </c>
      <c r="M35" s="14">
        <v>5.6739593864322804E-3</v>
      </c>
      <c r="N35" s="15">
        <v>4.8573308692465003E-3</v>
      </c>
      <c r="O35" s="15">
        <v>7.9599376850471998E-3</v>
      </c>
      <c r="P35" s="15">
        <v>-6.85569246833508E-3</v>
      </c>
      <c r="Q35" s="15">
        <v>-1.85377325126083E-3</v>
      </c>
      <c r="R35" s="15">
        <v>0.11994143703609</v>
      </c>
      <c r="S35" s="16">
        <v>1.6599085609855201E-2</v>
      </c>
    </row>
    <row r="36" spans="2:26">
      <c r="B36" s="2" t="s">
        <v>11</v>
      </c>
      <c r="C36" s="9">
        <v>2.2015558423844599E-2</v>
      </c>
      <c r="E36" s="2" t="s">
        <v>11</v>
      </c>
      <c r="F36" s="14">
        <v>1.1311847741901101E-4</v>
      </c>
      <c r="G36" s="15">
        <v>3.5260817651005399E-4</v>
      </c>
      <c r="H36" s="15">
        <v>2.0670601367960901E-4</v>
      </c>
      <c r="I36" s="15">
        <v>4.1787836017759799E-3</v>
      </c>
      <c r="J36" s="15">
        <v>4.3663951882746601E-3</v>
      </c>
      <c r="K36" s="15">
        <v>1.92850154646537E-4</v>
      </c>
      <c r="L36" s="16">
        <v>-1.30660910837738E-3</v>
      </c>
      <c r="M36" s="14">
        <v>3.5673120954519602E-4</v>
      </c>
      <c r="N36" s="15">
        <v>2.74063476377948E-4</v>
      </c>
      <c r="O36" s="15">
        <v>2.0479158502291901E-4</v>
      </c>
      <c r="P36" s="15">
        <v>1.2924735981037301E-3</v>
      </c>
      <c r="Q36" s="15">
        <v>-5.1469385806720397E-4</v>
      </c>
      <c r="R36" s="15">
        <v>-2.0207781220306801E-4</v>
      </c>
      <c r="S36" s="16">
        <v>1.3155710503089499E-3</v>
      </c>
    </row>
    <row r="37" spans="2:26">
      <c r="B37" s="2" t="s">
        <v>12</v>
      </c>
      <c r="C37" s="9">
        <v>5.1229536490832499E-2</v>
      </c>
      <c r="E37" s="2" t="s">
        <v>12</v>
      </c>
      <c r="F37" s="14">
        <v>-8.3029086270789402E-5</v>
      </c>
      <c r="G37" s="15">
        <v>2.4329996221480899E-3</v>
      </c>
      <c r="H37" s="15">
        <v>1.5086518017022701E-3</v>
      </c>
      <c r="I37" s="15">
        <v>8.1474314522958103E-3</v>
      </c>
      <c r="J37" s="15">
        <v>1.0770596860246499E-2</v>
      </c>
      <c r="K37" s="15">
        <v>-1.5767392840354601E-4</v>
      </c>
      <c r="L37" s="16">
        <v>5.7046956937316503E-4</v>
      </c>
      <c r="M37" s="14">
        <v>2.1136916570541702E-3</v>
      </c>
      <c r="N37" s="15">
        <v>2.64925242268868E-4</v>
      </c>
      <c r="O37" s="15">
        <v>3.5690077588397998E-2</v>
      </c>
      <c r="P37" s="15">
        <v>7.2654834095284998E-4</v>
      </c>
      <c r="Q37" s="15">
        <v>-2.5234115831993401E-3</v>
      </c>
      <c r="R37" s="15">
        <v>8.71458269321181E-4</v>
      </c>
      <c r="S37" s="16">
        <v>-3.4328866561506699E-4</v>
      </c>
    </row>
    <row r="38" spans="2:26">
      <c r="B38" s="3" t="s">
        <v>13</v>
      </c>
      <c r="C38" s="10">
        <v>3.3387290187160398E-2</v>
      </c>
      <c r="E38" s="3" t="s">
        <v>13</v>
      </c>
      <c r="F38" s="17">
        <v>-4.8920141254981699E-4</v>
      </c>
      <c r="G38" s="18">
        <v>2.3817776077362401E-3</v>
      </c>
      <c r="H38" s="18">
        <v>5.0702294071367404E-4</v>
      </c>
      <c r="I38" s="18">
        <v>5.8433089635560098E-2</v>
      </c>
      <c r="J38" s="18">
        <v>3.0191106587354201E-3</v>
      </c>
      <c r="K38" s="18">
        <v>-7.96807645734532E-4</v>
      </c>
      <c r="L38" s="19">
        <v>-1.5040310900077301E-3</v>
      </c>
      <c r="M38" s="17">
        <v>2.84353610725065E-3</v>
      </c>
      <c r="N38" s="18">
        <v>2.0112317258197399E-3</v>
      </c>
      <c r="O38" s="18">
        <v>3.6901139167655902E-3</v>
      </c>
      <c r="P38" s="18">
        <v>-5.3094750092724005E-4</v>
      </c>
      <c r="Q38" s="18">
        <v>-2.1551030119677699E-3</v>
      </c>
      <c r="R38" s="18">
        <v>-2.2540350058386301E-3</v>
      </c>
      <c r="S38" s="19">
        <v>-3.7351946564871102E-3</v>
      </c>
    </row>
    <row r="41" spans="2:26">
      <c r="E41" s="76" t="s">
        <v>33</v>
      </c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8"/>
    </row>
    <row r="43" spans="2:26">
      <c r="E43" s="40" t="s">
        <v>21</v>
      </c>
      <c r="F43" s="41" t="s">
        <v>0</v>
      </c>
      <c r="G43" s="42" t="s">
        <v>1</v>
      </c>
      <c r="H43" s="42" t="s">
        <v>2</v>
      </c>
      <c r="I43" s="42" t="s">
        <v>3</v>
      </c>
      <c r="J43" s="42" t="s">
        <v>4</v>
      </c>
      <c r="K43" s="42" t="s">
        <v>5</v>
      </c>
      <c r="L43" s="43" t="s">
        <v>6</v>
      </c>
      <c r="M43" s="41" t="s">
        <v>7</v>
      </c>
      <c r="N43" s="42" t="s">
        <v>8</v>
      </c>
      <c r="O43" s="42" t="s">
        <v>9</v>
      </c>
      <c r="P43" s="42" t="s">
        <v>10</v>
      </c>
      <c r="Q43" s="42" t="s">
        <v>11</v>
      </c>
      <c r="R43" s="42" t="s">
        <v>12</v>
      </c>
      <c r="S43" s="43" t="s">
        <v>13</v>
      </c>
    </row>
    <row r="44" spans="2:26">
      <c r="E44" s="44" t="s">
        <v>0</v>
      </c>
      <c r="F44" s="55">
        <v>16990</v>
      </c>
      <c r="G44" s="56">
        <v>7325</v>
      </c>
      <c r="H44" s="56">
        <v>722</v>
      </c>
      <c r="I44" s="56">
        <v>749</v>
      </c>
      <c r="J44" s="56">
        <v>146</v>
      </c>
      <c r="K44" s="56">
        <v>369</v>
      </c>
      <c r="L44" s="57">
        <v>309</v>
      </c>
      <c r="M44" s="55">
        <v>4318</v>
      </c>
      <c r="N44" s="56">
        <v>5753</v>
      </c>
      <c r="O44" s="56">
        <v>505</v>
      </c>
      <c r="P44" s="56">
        <v>673</v>
      </c>
      <c r="Q44" s="56">
        <v>146</v>
      </c>
      <c r="R44" s="56">
        <v>358</v>
      </c>
      <c r="S44" s="57">
        <v>315</v>
      </c>
      <c r="Y44" s="52" t="s">
        <v>37</v>
      </c>
      <c r="Z44" s="50">
        <f>Y22</f>
        <v>195606</v>
      </c>
    </row>
    <row r="45" spans="2:26">
      <c r="E45" s="45" t="s">
        <v>1</v>
      </c>
      <c r="F45" s="58">
        <v>6622</v>
      </c>
      <c r="G45" s="59">
        <v>21906</v>
      </c>
      <c r="H45" s="59">
        <v>868</v>
      </c>
      <c r="I45" s="59">
        <v>855</v>
      </c>
      <c r="J45" s="59">
        <v>173</v>
      </c>
      <c r="K45" s="59">
        <v>415</v>
      </c>
      <c r="L45" s="60">
        <v>359</v>
      </c>
      <c r="M45" s="58">
        <v>7607</v>
      </c>
      <c r="N45" s="59">
        <v>6261</v>
      </c>
      <c r="O45" s="59">
        <v>833</v>
      </c>
      <c r="P45" s="59">
        <v>678</v>
      </c>
      <c r="Q45" s="59">
        <v>149</v>
      </c>
      <c r="R45" s="59">
        <v>451</v>
      </c>
      <c r="S45" s="60">
        <v>403</v>
      </c>
      <c r="Y45" s="52" t="s">
        <v>24</v>
      </c>
      <c r="Z45" s="50">
        <f>SUM(Y9,Y11:Y12,Y16,Y18:Y19)</f>
        <v>13455</v>
      </c>
    </row>
    <row r="46" spans="2:26">
      <c r="E46" s="45" t="s">
        <v>2</v>
      </c>
      <c r="F46" s="58">
        <v>743</v>
      </c>
      <c r="G46" s="59">
        <v>866</v>
      </c>
      <c r="H46" s="59">
        <v>425</v>
      </c>
      <c r="I46" s="59">
        <v>110</v>
      </c>
      <c r="J46" s="59">
        <v>44</v>
      </c>
      <c r="K46" s="59">
        <v>52</v>
      </c>
      <c r="L46" s="60">
        <v>40</v>
      </c>
      <c r="M46" s="58">
        <v>748</v>
      </c>
      <c r="N46" s="59">
        <v>867</v>
      </c>
      <c r="O46" s="59">
        <v>102</v>
      </c>
      <c r="P46" s="59">
        <v>90</v>
      </c>
      <c r="Q46" s="59">
        <v>26</v>
      </c>
      <c r="R46" s="59">
        <v>59</v>
      </c>
      <c r="S46" s="60">
        <v>27</v>
      </c>
      <c r="Y46" s="52" t="s">
        <v>30</v>
      </c>
      <c r="Z46" s="50">
        <v>8616</v>
      </c>
    </row>
    <row r="47" spans="2:26">
      <c r="E47" s="45" t="s">
        <v>3</v>
      </c>
      <c r="F47" s="58">
        <v>676</v>
      </c>
      <c r="G47" s="59">
        <v>853</v>
      </c>
      <c r="H47" s="59">
        <v>85</v>
      </c>
      <c r="I47" s="59">
        <v>71</v>
      </c>
      <c r="J47" s="59">
        <v>17</v>
      </c>
      <c r="K47" s="59">
        <v>178</v>
      </c>
      <c r="L47" s="60">
        <v>50</v>
      </c>
      <c r="M47" s="58">
        <v>698</v>
      </c>
      <c r="N47" s="59">
        <v>776</v>
      </c>
      <c r="O47" s="59">
        <v>66</v>
      </c>
      <c r="P47" s="59">
        <v>79</v>
      </c>
      <c r="Q47" s="59">
        <v>19</v>
      </c>
      <c r="R47" s="59">
        <v>55</v>
      </c>
      <c r="S47" s="60">
        <v>69</v>
      </c>
      <c r="Y47" s="52" t="s">
        <v>28</v>
      </c>
      <c r="Z47" s="50">
        <v>17808</v>
      </c>
    </row>
    <row r="48" spans="2:26">
      <c r="E48" s="45" t="s">
        <v>4</v>
      </c>
      <c r="F48" s="58">
        <v>118</v>
      </c>
      <c r="G48" s="59">
        <v>170</v>
      </c>
      <c r="H48" s="59">
        <v>39</v>
      </c>
      <c r="I48" s="59">
        <v>21</v>
      </c>
      <c r="J48" s="59">
        <v>8</v>
      </c>
      <c r="K48" s="59">
        <v>15</v>
      </c>
      <c r="L48" s="60">
        <v>9</v>
      </c>
      <c r="M48" s="58">
        <v>171</v>
      </c>
      <c r="N48" s="59">
        <v>168</v>
      </c>
      <c r="O48" s="59">
        <v>29</v>
      </c>
      <c r="P48" s="59">
        <v>27</v>
      </c>
      <c r="Q48" s="59">
        <v>6</v>
      </c>
      <c r="R48" s="59">
        <v>13</v>
      </c>
      <c r="S48" s="60">
        <v>9</v>
      </c>
      <c r="Y48" s="52" t="s">
        <v>31</v>
      </c>
      <c r="Z48" s="81">
        <f>Z47/Z46</f>
        <v>2.0668523676880222</v>
      </c>
    </row>
    <row r="49" spans="5:26">
      <c r="E49" s="45" t="s">
        <v>5</v>
      </c>
      <c r="F49" s="58">
        <v>400</v>
      </c>
      <c r="G49" s="59">
        <v>409</v>
      </c>
      <c r="H49" s="59">
        <v>133</v>
      </c>
      <c r="I49" s="59">
        <v>47</v>
      </c>
      <c r="J49" s="59">
        <v>18</v>
      </c>
      <c r="K49" s="59">
        <v>27</v>
      </c>
      <c r="L49" s="60">
        <v>11</v>
      </c>
      <c r="M49" s="58">
        <v>343</v>
      </c>
      <c r="N49" s="59">
        <v>451</v>
      </c>
      <c r="O49" s="59">
        <v>55</v>
      </c>
      <c r="P49" s="59">
        <v>75</v>
      </c>
      <c r="Q49" s="59">
        <v>25</v>
      </c>
      <c r="R49" s="59">
        <v>23</v>
      </c>
      <c r="S49" s="60">
        <v>14</v>
      </c>
      <c r="Y49" s="52" t="s">
        <v>29</v>
      </c>
      <c r="Z49" s="82">
        <v>9.5171773444753943E-3</v>
      </c>
    </row>
    <row r="50" spans="5:26">
      <c r="E50" s="46" t="s">
        <v>6</v>
      </c>
      <c r="F50" s="61">
        <v>334</v>
      </c>
      <c r="G50" s="62">
        <v>343</v>
      </c>
      <c r="H50" s="62">
        <v>30</v>
      </c>
      <c r="I50" s="62">
        <v>29</v>
      </c>
      <c r="J50" s="62">
        <v>6</v>
      </c>
      <c r="K50" s="62">
        <v>21</v>
      </c>
      <c r="L50" s="63">
        <v>21</v>
      </c>
      <c r="M50" s="61">
        <v>234</v>
      </c>
      <c r="N50" s="62">
        <v>368</v>
      </c>
      <c r="O50" s="62">
        <v>22</v>
      </c>
      <c r="P50" s="62">
        <v>226</v>
      </c>
      <c r="Q50" s="62">
        <v>12</v>
      </c>
      <c r="R50" s="62">
        <v>11</v>
      </c>
      <c r="S50" s="63">
        <v>20</v>
      </c>
      <c r="Y50" s="52" t="s">
        <v>32</v>
      </c>
      <c r="Z50" s="50">
        <f>Z46*Z49</f>
        <v>82</v>
      </c>
    </row>
    <row r="51" spans="5:26">
      <c r="E51" s="44" t="s">
        <v>7</v>
      </c>
      <c r="F51" s="64">
        <v>4526</v>
      </c>
      <c r="G51" s="65">
        <v>6928</v>
      </c>
      <c r="H51" s="65">
        <v>689</v>
      </c>
      <c r="I51" s="65">
        <v>834</v>
      </c>
      <c r="J51" s="65">
        <v>167</v>
      </c>
      <c r="K51" s="65">
        <v>425</v>
      </c>
      <c r="L51" s="66">
        <v>357</v>
      </c>
      <c r="M51" s="64">
        <v>19805</v>
      </c>
      <c r="N51" s="65">
        <v>6775</v>
      </c>
      <c r="O51" s="65">
        <v>673</v>
      </c>
      <c r="P51" s="65">
        <v>812</v>
      </c>
      <c r="Q51" s="65">
        <v>162</v>
      </c>
      <c r="R51" s="65">
        <v>379</v>
      </c>
      <c r="S51" s="66">
        <v>346</v>
      </c>
      <c r="Y51" s="52" t="s">
        <v>27</v>
      </c>
      <c r="Z51" s="74">
        <v>0.28512848551120828</v>
      </c>
    </row>
    <row r="52" spans="5:26">
      <c r="E52" s="45" t="s">
        <v>8</v>
      </c>
      <c r="F52" s="67">
        <v>6364</v>
      </c>
      <c r="G52" s="68">
        <v>6077</v>
      </c>
      <c r="H52" s="68">
        <v>883</v>
      </c>
      <c r="I52" s="68">
        <v>536</v>
      </c>
      <c r="J52" s="68">
        <v>151</v>
      </c>
      <c r="K52" s="68">
        <v>383</v>
      </c>
      <c r="L52" s="69">
        <v>372</v>
      </c>
      <c r="M52" s="67">
        <v>6592</v>
      </c>
      <c r="N52" s="68">
        <v>18527</v>
      </c>
      <c r="O52" s="68">
        <v>680</v>
      </c>
      <c r="P52" s="68">
        <v>841</v>
      </c>
      <c r="Q52" s="68">
        <v>156</v>
      </c>
      <c r="R52" s="68">
        <v>352</v>
      </c>
      <c r="S52" s="69">
        <v>326</v>
      </c>
      <c r="Y52" s="52" t="s">
        <v>22</v>
      </c>
      <c r="Z52" s="74">
        <v>2.6979777135782088</v>
      </c>
    </row>
    <row r="53" spans="5:26">
      <c r="E53" s="45" t="s">
        <v>9</v>
      </c>
      <c r="F53" s="67">
        <v>585</v>
      </c>
      <c r="G53" s="68">
        <v>862</v>
      </c>
      <c r="H53" s="68">
        <v>108</v>
      </c>
      <c r="I53" s="68">
        <v>68</v>
      </c>
      <c r="J53" s="68">
        <v>24</v>
      </c>
      <c r="K53" s="68">
        <v>41</v>
      </c>
      <c r="L53" s="69">
        <v>39</v>
      </c>
      <c r="M53" s="67">
        <v>700</v>
      </c>
      <c r="N53" s="68">
        <v>686</v>
      </c>
      <c r="O53" s="68">
        <v>299</v>
      </c>
      <c r="P53" s="68">
        <v>61</v>
      </c>
      <c r="Q53" s="68">
        <v>33</v>
      </c>
      <c r="R53" s="68">
        <v>51</v>
      </c>
      <c r="S53" s="69">
        <v>36</v>
      </c>
      <c r="Y53" s="52" t="s">
        <v>23</v>
      </c>
      <c r="Z53" s="73">
        <v>2531</v>
      </c>
    </row>
    <row r="54" spans="5:26">
      <c r="E54" s="45" t="s">
        <v>10</v>
      </c>
      <c r="F54" s="67">
        <v>638</v>
      </c>
      <c r="G54" s="68">
        <v>774</v>
      </c>
      <c r="H54" s="68">
        <v>90</v>
      </c>
      <c r="I54" s="68">
        <v>67</v>
      </c>
      <c r="J54" s="68">
        <v>15</v>
      </c>
      <c r="K54" s="68">
        <v>53</v>
      </c>
      <c r="L54" s="69">
        <v>67</v>
      </c>
      <c r="M54" s="67">
        <v>754</v>
      </c>
      <c r="N54" s="68">
        <v>771</v>
      </c>
      <c r="O54" s="68">
        <v>97</v>
      </c>
      <c r="P54" s="68">
        <v>94</v>
      </c>
      <c r="Q54" s="68">
        <v>21</v>
      </c>
      <c r="R54" s="68">
        <v>256</v>
      </c>
      <c r="S54" s="69">
        <v>51</v>
      </c>
      <c r="Y54" s="52" t="s">
        <v>25</v>
      </c>
      <c r="Z54" s="75">
        <f>Z53/(Y10+Y17)</f>
        <v>0.34018817204301077</v>
      </c>
    </row>
    <row r="55" spans="5:26">
      <c r="E55" s="45" t="s">
        <v>11</v>
      </c>
      <c r="F55" s="67">
        <v>138</v>
      </c>
      <c r="G55" s="68">
        <v>184</v>
      </c>
      <c r="H55" s="68">
        <v>23</v>
      </c>
      <c r="I55" s="68">
        <v>33</v>
      </c>
      <c r="J55" s="68">
        <v>5</v>
      </c>
      <c r="K55" s="68">
        <v>8</v>
      </c>
      <c r="L55" s="69">
        <v>6</v>
      </c>
      <c r="M55" s="67">
        <v>162</v>
      </c>
      <c r="N55" s="68">
        <v>151</v>
      </c>
      <c r="O55" s="68">
        <v>25</v>
      </c>
      <c r="P55" s="68">
        <v>20</v>
      </c>
      <c r="Q55" s="68">
        <v>4</v>
      </c>
      <c r="R55" s="68">
        <v>4</v>
      </c>
      <c r="S55" s="69">
        <v>10</v>
      </c>
    </row>
    <row r="56" spans="5:26">
      <c r="E56" s="45" t="s">
        <v>12</v>
      </c>
      <c r="F56" s="67">
        <v>309</v>
      </c>
      <c r="G56" s="68">
        <v>505</v>
      </c>
      <c r="H56" s="68">
        <v>67</v>
      </c>
      <c r="I56" s="68">
        <v>59</v>
      </c>
      <c r="J56" s="68">
        <v>19</v>
      </c>
      <c r="K56" s="68">
        <v>23</v>
      </c>
      <c r="L56" s="69">
        <v>22</v>
      </c>
      <c r="M56" s="67">
        <v>412</v>
      </c>
      <c r="N56" s="68">
        <v>388</v>
      </c>
      <c r="O56" s="68">
        <v>159</v>
      </c>
      <c r="P56" s="68">
        <v>38</v>
      </c>
      <c r="Q56" s="68">
        <v>9</v>
      </c>
      <c r="R56" s="68">
        <v>31</v>
      </c>
      <c r="S56" s="69">
        <v>15</v>
      </c>
    </row>
    <row r="57" spans="5:26">
      <c r="E57" s="46" t="s">
        <v>13</v>
      </c>
      <c r="F57" s="70">
        <v>234</v>
      </c>
      <c r="G57" s="71">
        <v>379</v>
      </c>
      <c r="H57" s="71">
        <v>37</v>
      </c>
      <c r="I57" s="71">
        <v>213</v>
      </c>
      <c r="J57" s="71">
        <v>10</v>
      </c>
      <c r="K57" s="71">
        <v>21</v>
      </c>
      <c r="L57" s="72">
        <v>15</v>
      </c>
      <c r="M57" s="70">
        <v>334</v>
      </c>
      <c r="N57" s="71">
        <v>298</v>
      </c>
      <c r="O57" s="71">
        <v>48</v>
      </c>
      <c r="P57" s="71">
        <v>34</v>
      </c>
      <c r="Q57" s="71">
        <v>5</v>
      </c>
      <c r="R57" s="71">
        <v>13</v>
      </c>
      <c r="S57" s="72">
        <v>16</v>
      </c>
    </row>
    <row r="59" spans="5:26">
      <c r="E59" s="76" t="s">
        <v>34</v>
      </c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8"/>
    </row>
    <row r="61" spans="5:26">
      <c r="E61" s="40" t="s">
        <v>21</v>
      </c>
      <c r="F61" s="203" t="s">
        <v>0</v>
      </c>
      <c r="G61" s="204" t="s">
        <v>1</v>
      </c>
      <c r="H61" s="204" t="s">
        <v>2</v>
      </c>
      <c r="I61" s="204" t="s">
        <v>3</v>
      </c>
      <c r="J61" s="204" t="s">
        <v>4</v>
      </c>
      <c r="K61" s="204" t="s">
        <v>5</v>
      </c>
      <c r="L61" s="205" t="s">
        <v>6</v>
      </c>
      <c r="M61" s="204" t="s">
        <v>7</v>
      </c>
      <c r="N61" s="204" t="s">
        <v>8</v>
      </c>
      <c r="O61" s="204" t="s">
        <v>9</v>
      </c>
      <c r="P61" s="204" t="s">
        <v>10</v>
      </c>
      <c r="Q61" s="204" t="s">
        <v>11</v>
      </c>
      <c r="R61" s="204" t="s">
        <v>12</v>
      </c>
      <c r="S61" s="205" t="s">
        <v>13</v>
      </c>
      <c r="U61" s="40" t="s">
        <v>16</v>
      </c>
      <c r="V61" s="40" t="s">
        <v>18</v>
      </c>
      <c r="X61" s="40" t="s">
        <v>16</v>
      </c>
      <c r="Y61" s="40" t="s">
        <v>19</v>
      </c>
    </row>
    <row r="62" spans="5:26">
      <c r="E62" s="206" t="s">
        <v>0</v>
      </c>
      <c r="F62" s="92">
        <v>19508</v>
      </c>
      <c r="G62" s="93">
        <v>6858</v>
      </c>
      <c r="H62" s="94">
        <v>1126</v>
      </c>
      <c r="I62" s="95">
        <v>824</v>
      </c>
      <c r="J62" s="96">
        <v>44</v>
      </c>
      <c r="K62" s="97">
        <v>433</v>
      </c>
      <c r="L62" s="98">
        <v>277</v>
      </c>
      <c r="M62" s="99">
        <v>2490</v>
      </c>
      <c r="N62" s="100">
        <v>5315</v>
      </c>
      <c r="O62" s="101">
        <v>259</v>
      </c>
      <c r="P62" s="102">
        <v>690</v>
      </c>
      <c r="Q62" s="103">
        <v>40</v>
      </c>
      <c r="R62" s="101">
        <v>239</v>
      </c>
      <c r="S62" s="98">
        <v>275</v>
      </c>
      <c r="U62" s="44" t="s">
        <v>0</v>
      </c>
      <c r="V62" s="8">
        <f>Y62/V$3</f>
        <v>1.1524924924924924</v>
      </c>
      <c r="X62" s="44" t="s">
        <v>0</v>
      </c>
      <c r="Y62" s="47">
        <f>SUM(F62:S62)</f>
        <v>38378</v>
      </c>
    </row>
    <row r="63" spans="5:26">
      <c r="E63" s="207" t="s">
        <v>1</v>
      </c>
      <c r="F63" s="104">
        <v>6228</v>
      </c>
      <c r="G63" s="105">
        <v>26439</v>
      </c>
      <c r="H63" s="106">
        <v>674</v>
      </c>
      <c r="I63" s="107">
        <v>1110</v>
      </c>
      <c r="J63" s="108">
        <v>384</v>
      </c>
      <c r="K63" s="109">
        <v>448</v>
      </c>
      <c r="L63" s="110">
        <v>393</v>
      </c>
      <c r="M63" s="111">
        <v>7199</v>
      </c>
      <c r="N63" s="112">
        <v>2795</v>
      </c>
      <c r="O63" s="108">
        <v>387</v>
      </c>
      <c r="P63" s="113"/>
      <c r="Q63" s="113"/>
      <c r="R63" s="114">
        <v>266</v>
      </c>
      <c r="S63" s="115">
        <v>291</v>
      </c>
      <c r="U63" s="45" t="s">
        <v>1</v>
      </c>
      <c r="V63" s="9">
        <f t="shared" ref="V63:V75" si="0">Y63/V$3</f>
        <v>1.3998198198198197</v>
      </c>
      <c r="X63" s="45" t="s">
        <v>1</v>
      </c>
      <c r="Y63" s="48">
        <f t="shared" ref="Y63:Y75" si="1">SUM(F63:S63)</f>
        <v>46614</v>
      </c>
    </row>
    <row r="64" spans="5:26">
      <c r="E64" s="207" t="s">
        <v>2</v>
      </c>
      <c r="F64" s="116">
        <v>877</v>
      </c>
      <c r="G64" s="117">
        <v>614</v>
      </c>
      <c r="H64" s="106">
        <v>735</v>
      </c>
      <c r="I64" s="118">
        <v>42</v>
      </c>
      <c r="J64" s="119">
        <v>9</v>
      </c>
      <c r="K64" s="120">
        <v>15</v>
      </c>
      <c r="L64" s="121">
        <v>8</v>
      </c>
      <c r="M64" s="122">
        <v>676</v>
      </c>
      <c r="N64" s="123">
        <v>752</v>
      </c>
      <c r="O64" s="124">
        <v>104</v>
      </c>
      <c r="P64" s="125">
        <v>18</v>
      </c>
      <c r="Q64" s="126">
        <v>113</v>
      </c>
      <c r="R64" s="127">
        <v>10</v>
      </c>
      <c r="S64" s="128">
        <v>14</v>
      </c>
      <c r="U64" s="45" t="s">
        <v>2</v>
      </c>
      <c r="V64" s="9">
        <f t="shared" si="0"/>
        <v>0.11972972972972973</v>
      </c>
      <c r="X64" s="45" t="s">
        <v>2</v>
      </c>
      <c r="Y64" s="48">
        <f t="shared" si="1"/>
        <v>3987</v>
      </c>
    </row>
    <row r="65" spans="5:25">
      <c r="E65" s="207" t="s">
        <v>3</v>
      </c>
      <c r="F65" s="122">
        <v>736</v>
      </c>
      <c r="G65" s="106">
        <v>741</v>
      </c>
      <c r="H65" s="129">
        <v>172</v>
      </c>
      <c r="I65" s="130">
        <v>1</v>
      </c>
      <c r="J65" s="113"/>
      <c r="K65" s="114">
        <v>311</v>
      </c>
      <c r="L65" s="131">
        <v>53</v>
      </c>
      <c r="M65" s="132">
        <v>499</v>
      </c>
      <c r="N65" s="117">
        <v>603</v>
      </c>
      <c r="O65" s="133">
        <v>3</v>
      </c>
      <c r="P65" s="134">
        <v>14</v>
      </c>
      <c r="Q65" s="113"/>
      <c r="R65" s="135">
        <v>219</v>
      </c>
      <c r="S65" s="115">
        <v>236</v>
      </c>
      <c r="U65" s="45" t="s">
        <v>3</v>
      </c>
      <c r="V65" s="9">
        <f t="shared" si="0"/>
        <v>0.10774774774774774</v>
      </c>
      <c r="X65" s="45" t="s">
        <v>3</v>
      </c>
      <c r="Y65" s="48">
        <f t="shared" si="1"/>
        <v>3588</v>
      </c>
    </row>
    <row r="66" spans="5:25">
      <c r="E66" s="207" t="s">
        <v>4</v>
      </c>
      <c r="F66" s="136">
        <v>163</v>
      </c>
      <c r="G66" s="137">
        <v>148</v>
      </c>
      <c r="H66" s="138">
        <v>57</v>
      </c>
      <c r="I66" s="119">
        <v>9</v>
      </c>
      <c r="J66" s="113"/>
      <c r="K66" s="113"/>
      <c r="L66" s="139"/>
      <c r="M66" s="140">
        <v>143</v>
      </c>
      <c r="N66" s="141">
        <v>164</v>
      </c>
      <c r="O66" s="119">
        <v>9</v>
      </c>
      <c r="P66" s="118">
        <v>42</v>
      </c>
      <c r="Q66" s="130">
        <v>1</v>
      </c>
      <c r="R66" s="130">
        <v>1</v>
      </c>
      <c r="S66" s="139"/>
      <c r="U66" s="45" t="s">
        <v>4</v>
      </c>
      <c r="V66" s="9">
        <f t="shared" si="0"/>
        <v>2.213213213213213E-2</v>
      </c>
      <c r="X66" s="45" t="s">
        <v>4</v>
      </c>
      <c r="Y66" s="48">
        <f t="shared" si="1"/>
        <v>737</v>
      </c>
    </row>
    <row r="67" spans="5:25">
      <c r="E67" s="207" t="s">
        <v>5</v>
      </c>
      <c r="F67" s="132">
        <v>501</v>
      </c>
      <c r="G67" s="142">
        <v>204</v>
      </c>
      <c r="H67" s="114">
        <v>269</v>
      </c>
      <c r="I67" s="143">
        <v>8</v>
      </c>
      <c r="J67" s="113"/>
      <c r="K67" s="130">
        <v>1</v>
      </c>
      <c r="L67" s="139"/>
      <c r="M67" s="144">
        <v>107</v>
      </c>
      <c r="N67" s="109">
        <v>442</v>
      </c>
      <c r="O67" s="145">
        <v>13</v>
      </c>
      <c r="P67" s="114">
        <v>302</v>
      </c>
      <c r="Q67" s="146">
        <v>125</v>
      </c>
      <c r="R67" s="113"/>
      <c r="S67" s="139"/>
      <c r="U67" s="45" t="s">
        <v>5</v>
      </c>
      <c r="V67" s="9">
        <f t="shared" si="0"/>
        <v>5.9219219219219223E-2</v>
      </c>
      <c r="X67" s="45" t="s">
        <v>5</v>
      </c>
      <c r="Y67" s="48">
        <f t="shared" si="1"/>
        <v>1972</v>
      </c>
    </row>
    <row r="68" spans="5:25">
      <c r="E68" s="208" t="s">
        <v>6</v>
      </c>
      <c r="F68" s="147">
        <v>380</v>
      </c>
      <c r="G68" s="148">
        <v>223</v>
      </c>
      <c r="H68" s="149">
        <v>88</v>
      </c>
      <c r="I68" s="150"/>
      <c r="J68" s="151">
        <v>1</v>
      </c>
      <c r="K68" s="150"/>
      <c r="L68" s="152">
        <v>1</v>
      </c>
      <c r="M68" s="150"/>
      <c r="N68" s="153">
        <v>297</v>
      </c>
      <c r="O68" s="154">
        <v>9</v>
      </c>
      <c r="P68" s="155">
        <v>562</v>
      </c>
      <c r="Q68" s="156">
        <v>17</v>
      </c>
      <c r="R68" s="151">
        <v>1</v>
      </c>
      <c r="S68" s="152">
        <v>1</v>
      </c>
      <c r="U68" s="46" t="s">
        <v>6</v>
      </c>
      <c r="V68" s="10">
        <f t="shared" si="0"/>
        <v>4.7447447447447451E-2</v>
      </c>
      <c r="X68" s="46" t="s">
        <v>6</v>
      </c>
      <c r="Y68" s="49">
        <f t="shared" si="1"/>
        <v>1580</v>
      </c>
    </row>
    <row r="69" spans="5:25">
      <c r="E69" s="207" t="s">
        <v>7</v>
      </c>
      <c r="F69" s="157">
        <v>2710</v>
      </c>
      <c r="G69" s="158">
        <v>6303</v>
      </c>
      <c r="H69" s="97">
        <v>347</v>
      </c>
      <c r="I69" s="102">
        <v>668</v>
      </c>
      <c r="J69" s="159">
        <v>52</v>
      </c>
      <c r="K69" s="101">
        <v>270</v>
      </c>
      <c r="L69" s="160">
        <v>387</v>
      </c>
      <c r="M69" s="161">
        <v>22878</v>
      </c>
      <c r="N69" s="93">
        <v>6853</v>
      </c>
      <c r="O69" s="162">
        <v>1020</v>
      </c>
      <c r="P69" s="163">
        <v>875</v>
      </c>
      <c r="Q69" s="164">
        <v>59</v>
      </c>
      <c r="R69" s="165">
        <v>443</v>
      </c>
      <c r="S69" s="98">
        <v>312</v>
      </c>
      <c r="U69" s="44" t="s">
        <v>7</v>
      </c>
      <c r="V69" s="8">
        <f t="shared" si="0"/>
        <v>1.2966066066066066</v>
      </c>
      <c r="X69" s="44" t="s">
        <v>7</v>
      </c>
      <c r="Y69" s="47">
        <f t="shared" si="1"/>
        <v>43177</v>
      </c>
    </row>
    <row r="70" spans="5:25">
      <c r="E70" s="207" t="s">
        <v>8</v>
      </c>
      <c r="F70" s="166">
        <v>6079</v>
      </c>
      <c r="G70" s="167">
        <v>2687</v>
      </c>
      <c r="H70" s="108">
        <v>402</v>
      </c>
      <c r="I70" s="113"/>
      <c r="J70" s="113"/>
      <c r="K70" s="114">
        <v>243</v>
      </c>
      <c r="L70" s="115">
        <v>236</v>
      </c>
      <c r="M70" s="168">
        <v>6541</v>
      </c>
      <c r="N70" s="169">
        <v>22913</v>
      </c>
      <c r="O70" s="109">
        <v>540</v>
      </c>
      <c r="P70" s="170">
        <v>1010</v>
      </c>
      <c r="Q70" s="108">
        <v>356</v>
      </c>
      <c r="R70" s="108">
        <v>440</v>
      </c>
      <c r="S70" s="110">
        <v>398</v>
      </c>
      <c r="U70" s="45" t="s">
        <v>8</v>
      </c>
      <c r="V70" s="9">
        <f t="shared" si="0"/>
        <v>1.2566066066066066</v>
      </c>
      <c r="X70" s="45" t="s">
        <v>8</v>
      </c>
      <c r="Y70" s="48">
        <f t="shared" si="1"/>
        <v>41845</v>
      </c>
    </row>
    <row r="71" spans="5:25">
      <c r="E71" s="207" t="s">
        <v>9</v>
      </c>
      <c r="F71" s="132">
        <v>504</v>
      </c>
      <c r="G71" s="123">
        <v>783</v>
      </c>
      <c r="H71" s="171">
        <v>71</v>
      </c>
      <c r="I71" s="172">
        <v>30</v>
      </c>
      <c r="J71" s="173">
        <v>110</v>
      </c>
      <c r="K71" s="134">
        <v>14</v>
      </c>
      <c r="L71" s="174">
        <v>9</v>
      </c>
      <c r="M71" s="175">
        <v>792</v>
      </c>
      <c r="N71" s="109">
        <v>480</v>
      </c>
      <c r="O71" s="106">
        <v>651</v>
      </c>
      <c r="P71" s="176">
        <v>48</v>
      </c>
      <c r="Q71" s="177">
        <v>11</v>
      </c>
      <c r="R71" s="178">
        <v>31</v>
      </c>
      <c r="S71" s="179">
        <v>6</v>
      </c>
      <c r="U71" s="45" t="s">
        <v>9</v>
      </c>
      <c r="V71" s="9">
        <f t="shared" si="0"/>
        <v>0.1063063063063063</v>
      </c>
      <c r="X71" s="45" t="s">
        <v>9</v>
      </c>
      <c r="Y71" s="48">
        <f t="shared" si="1"/>
        <v>3540</v>
      </c>
    </row>
    <row r="72" spans="5:25">
      <c r="E72" s="207" t="s">
        <v>10</v>
      </c>
      <c r="F72" s="132">
        <v>481</v>
      </c>
      <c r="G72" s="117">
        <v>635</v>
      </c>
      <c r="H72" s="180">
        <v>5</v>
      </c>
      <c r="I72" s="181">
        <v>21</v>
      </c>
      <c r="J72" s="113"/>
      <c r="K72" s="182">
        <v>233</v>
      </c>
      <c r="L72" s="183">
        <v>215</v>
      </c>
      <c r="M72" s="175">
        <v>774</v>
      </c>
      <c r="N72" s="106">
        <v>656</v>
      </c>
      <c r="O72" s="184">
        <v>135</v>
      </c>
      <c r="P72" s="113"/>
      <c r="Q72" s="113"/>
      <c r="R72" s="108">
        <v>364</v>
      </c>
      <c r="S72" s="185">
        <v>58</v>
      </c>
      <c r="U72" s="45" t="s">
        <v>10</v>
      </c>
      <c r="V72" s="9">
        <f t="shared" si="0"/>
        <v>0.10741741741741742</v>
      </c>
      <c r="X72" s="45" t="s">
        <v>10</v>
      </c>
      <c r="Y72" s="48">
        <f t="shared" si="1"/>
        <v>3577</v>
      </c>
    </row>
    <row r="73" spans="5:25">
      <c r="E73" s="207" t="s">
        <v>11</v>
      </c>
      <c r="F73" s="186">
        <v>121</v>
      </c>
      <c r="G73" s="187">
        <v>186</v>
      </c>
      <c r="H73" s="134">
        <v>14</v>
      </c>
      <c r="I73" s="118">
        <v>42</v>
      </c>
      <c r="J73" s="113"/>
      <c r="K73" s="130">
        <v>1</v>
      </c>
      <c r="L73" s="139"/>
      <c r="M73" s="188">
        <v>155</v>
      </c>
      <c r="N73" s="189">
        <v>151</v>
      </c>
      <c r="O73" s="190">
        <v>41</v>
      </c>
      <c r="P73" s="143">
        <v>8</v>
      </c>
      <c r="Q73" s="113"/>
      <c r="R73" s="191">
        <v>2</v>
      </c>
      <c r="S73" s="192">
        <v>1</v>
      </c>
      <c r="U73" s="45" t="s">
        <v>11</v>
      </c>
      <c r="V73" s="9">
        <f t="shared" si="0"/>
        <v>2.1681681681681681E-2</v>
      </c>
      <c r="X73" s="45" t="s">
        <v>11</v>
      </c>
      <c r="Y73" s="48">
        <f t="shared" si="1"/>
        <v>722</v>
      </c>
    </row>
    <row r="74" spans="5:25">
      <c r="E74" s="207" t="s">
        <v>12</v>
      </c>
      <c r="F74" s="193">
        <v>91</v>
      </c>
      <c r="G74" s="109">
        <v>468</v>
      </c>
      <c r="H74" s="125">
        <v>18</v>
      </c>
      <c r="I74" s="114">
        <v>297</v>
      </c>
      <c r="J74" s="194">
        <v>132</v>
      </c>
      <c r="K74" s="191">
        <v>2</v>
      </c>
      <c r="L74" s="192">
        <v>1</v>
      </c>
      <c r="M74" s="132">
        <v>519</v>
      </c>
      <c r="N74" s="195">
        <v>198</v>
      </c>
      <c r="O74" s="114">
        <v>284</v>
      </c>
      <c r="P74" s="196">
        <v>6</v>
      </c>
      <c r="Q74" s="113"/>
      <c r="R74" s="196">
        <v>6</v>
      </c>
      <c r="S74" s="139"/>
      <c r="U74" s="45" t="s">
        <v>12</v>
      </c>
      <c r="V74" s="9">
        <f t="shared" si="0"/>
        <v>6.0720720720720718E-2</v>
      </c>
      <c r="X74" s="45" t="s">
        <v>12</v>
      </c>
      <c r="Y74" s="48">
        <f t="shared" si="1"/>
        <v>2022</v>
      </c>
    </row>
    <row r="75" spans="5:25">
      <c r="E75" s="208" t="s">
        <v>13</v>
      </c>
      <c r="F75" s="150"/>
      <c r="G75" s="153">
        <v>325</v>
      </c>
      <c r="H75" s="154">
        <v>9</v>
      </c>
      <c r="I75" s="197">
        <v>536</v>
      </c>
      <c r="J75" s="198">
        <v>5</v>
      </c>
      <c r="K75" s="151">
        <v>1</v>
      </c>
      <c r="L75" s="199"/>
      <c r="M75" s="147">
        <v>404</v>
      </c>
      <c r="N75" s="200">
        <v>226</v>
      </c>
      <c r="O75" s="201">
        <v>84</v>
      </c>
      <c r="P75" s="202">
        <v>2</v>
      </c>
      <c r="Q75" s="150"/>
      <c r="R75" s="150"/>
      <c r="S75" s="199"/>
      <c r="U75" s="46" t="s">
        <v>13</v>
      </c>
      <c r="V75" s="10">
        <f t="shared" si="0"/>
        <v>4.7807807807807808E-2</v>
      </c>
      <c r="X75" s="46" t="s">
        <v>13</v>
      </c>
      <c r="Y75" s="49">
        <f t="shared" si="1"/>
        <v>1592</v>
      </c>
    </row>
    <row r="77" spans="5:25">
      <c r="E77" s="76" t="s">
        <v>35</v>
      </c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8"/>
      <c r="V77" s="54">
        <f>Y77/V$3</f>
        <v>5.8057357357357358</v>
      </c>
      <c r="X77" s="53" t="s">
        <v>20</v>
      </c>
      <c r="Y77" s="51">
        <f>SUM(Y62:Y75)</f>
        <v>193331</v>
      </c>
    </row>
    <row r="79" spans="5:25">
      <c r="E79" s="40" t="s">
        <v>21</v>
      </c>
      <c r="F79" s="41" t="s">
        <v>0</v>
      </c>
      <c r="G79" s="42" t="s">
        <v>1</v>
      </c>
      <c r="H79" s="42" t="s">
        <v>2</v>
      </c>
      <c r="I79" s="42" t="s">
        <v>3</v>
      </c>
      <c r="J79" s="42" t="s">
        <v>4</v>
      </c>
      <c r="K79" s="42" t="s">
        <v>5</v>
      </c>
      <c r="L79" s="43" t="s">
        <v>6</v>
      </c>
      <c r="M79" s="41" t="s">
        <v>7</v>
      </c>
      <c r="N79" s="42" t="s">
        <v>8</v>
      </c>
      <c r="O79" s="42" t="s">
        <v>9</v>
      </c>
      <c r="P79" s="42" t="s">
        <v>10</v>
      </c>
      <c r="Q79" s="42" t="s">
        <v>11</v>
      </c>
      <c r="R79" s="42" t="s">
        <v>12</v>
      </c>
      <c r="S79" s="43" t="s">
        <v>13</v>
      </c>
    </row>
    <row r="80" spans="5:25">
      <c r="E80" s="44" t="s">
        <v>0</v>
      </c>
      <c r="F80" s="29">
        <v>6.4156382970081444E-2</v>
      </c>
      <c r="G80" s="31">
        <v>0.18262019694206</v>
      </c>
      <c r="H80" s="31">
        <v>0.27350285241497863</v>
      </c>
      <c r="I80" s="31">
        <v>0.1950323022110669</v>
      </c>
      <c r="J80" s="31">
        <v>0.37801227974213752</v>
      </c>
      <c r="K80" s="31">
        <v>0.20076123490582531</v>
      </c>
      <c r="L80" s="33">
        <v>0.20009968274093259</v>
      </c>
      <c r="M80" s="29">
        <v>0.26847065732767667</v>
      </c>
      <c r="N80" s="31">
        <v>0.22473424379786905</v>
      </c>
      <c r="O80" s="31">
        <v>0.32895785936542055</v>
      </c>
      <c r="P80" s="31">
        <v>0.21619323463454221</v>
      </c>
      <c r="Q80" s="31">
        <v>0.26038376182148332</v>
      </c>
      <c r="R80" s="31">
        <v>0.22831654350110883</v>
      </c>
      <c r="S80" s="33">
        <v>0.18975827535955062</v>
      </c>
    </row>
    <row r="81" spans="5:19">
      <c r="E81" s="45" t="s">
        <v>1</v>
      </c>
      <c r="F81" s="32">
        <v>0.21549752939667885</v>
      </c>
      <c r="G81" s="30">
        <v>8.5128475009913343E-2</v>
      </c>
      <c r="H81" s="30">
        <v>0.31773833923592726</v>
      </c>
      <c r="I81" s="30">
        <v>0.21073026653687152</v>
      </c>
      <c r="J81" s="30">
        <v>0.2710029561613751</v>
      </c>
      <c r="K81" s="30">
        <v>0.25487538350711209</v>
      </c>
      <c r="L81" s="34">
        <v>0.20756524679308078</v>
      </c>
      <c r="M81" s="32">
        <v>0.20998481601252714</v>
      </c>
      <c r="N81" s="30">
        <v>0.26721034090846485</v>
      </c>
      <c r="O81" s="30">
        <v>0.29115391321234313</v>
      </c>
      <c r="P81" s="30">
        <v>0.32548372674384418</v>
      </c>
      <c r="Q81" s="30">
        <v>0.25778679375293417</v>
      </c>
      <c r="R81" s="30">
        <v>0.25033210587531213</v>
      </c>
      <c r="S81" s="34">
        <v>0.20915968088120712</v>
      </c>
    </row>
    <row r="82" spans="5:19">
      <c r="E82" s="45" t="s">
        <v>2</v>
      </c>
      <c r="F82" s="32">
        <v>0.30022312414949842</v>
      </c>
      <c r="G82" s="30">
        <v>0.32072014378010705</v>
      </c>
      <c r="H82" s="30">
        <v>0.11864074006010356</v>
      </c>
      <c r="I82" s="30">
        <v>0.2940794568016496</v>
      </c>
      <c r="J82" s="30">
        <v>0.24085277203763863</v>
      </c>
      <c r="K82" s="30">
        <v>0.25450664507978343</v>
      </c>
      <c r="L82" s="34">
        <v>0.30952514616622012</v>
      </c>
      <c r="M82" s="32">
        <v>0.30659749092339861</v>
      </c>
      <c r="N82" s="30">
        <v>0.30596561503758196</v>
      </c>
      <c r="O82" s="30">
        <v>0.29123886208883859</v>
      </c>
      <c r="P82" s="30">
        <v>0.26914067342025177</v>
      </c>
      <c r="Q82" s="30">
        <v>0.236363885006658</v>
      </c>
      <c r="R82" s="30">
        <v>0.36806515276608265</v>
      </c>
      <c r="S82" s="34">
        <v>0.38353844624272476</v>
      </c>
    </row>
    <row r="83" spans="5:19">
      <c r="E83" s="45" t="s">
        <v>3</v>
      </c>
      <c r="F83" s="32">
        <v>0.2168988794603843</v>
      </c>
      <c r="G83" s="30">
        <v>0.24079780714984367</v>
      </c>
      <c r="H83" s="30">
        <v>0.21982433463906412</v>
      </c>
      <c r="I83" s="30">
        <v>0.24260592536930764</v>
      </c>
      <c r="J83" s="30">
        <v>0.3787887121701688</v>
      </c>
      <c r="K83" s="30">
        <v>5.3404988328371622E-2</v>
      </c>
      <c r="L83" s="34">
        <v>0.13153931744816816</v>
      </c>
      <c r="M83" s="32">
        <v>0.24081759162938698</v>
      </c>
      <c r="N83" s="30">
        <v>0.21948254988706692</v>
      </c>
      <c r="O83" s="30">
        <v>0.36186448098009916</v>
      </c>
      <c r="P83" s="30">
        <v>0.35930606547242261</v>
      </c>
      <c r="Q83" s="30">
        <v>0.3000078348971173</v>
      </c>
      <c r="R83" s="30">
        <v>0.11152207858201547</v>
      </c>
      <c r="S83" s="34">
        <v>8.3959521166733622E-2</v>
      </c>
    </row>
    <row r="84" spans="5:19">
      <c r="E84" s="45" t="s">
        <v>4</v>
      </c>
      <c r="F84" s="32">
        <v>0.35232783047687294</v>
      </c>
      <c r="G84" s="30">
        <v>0.3004676030686419</v>
      </c>
      <c r="H84" s="30">
        <v>0.20869295310890323</v>
      </c>
      <c r="I84" s="30">
        <v>0.43194372425170424</v>
      </c>
      <c r="J84" s="30">
        <v>0.29366826780788813</v>
      </c>
      <c r="K84" s="30">
        <v>0.28903413975582831</v>
      </c>
      <c r="L84" s="34">
        <v>0.47042509323628362</v>
      </c>
      <c r="M84" s="32">
        <v>0.32427290442578266</v>
      </c>
      <c r="N84" s="30">
        <v>0.26951316054396285</v>
      </c>
      <c r="O84" s="30">
        <v>0.38858131617777464</v>
      </c>
      <c r="P84" s="30">
        <v>0.4463273671054232</v>
      </c>
      <c r="Q84" s="30">
        <v>0.21209030231072271</v>
      </c>
      <c r="R84" s="30">
        <v>0.31168545543333981</v>
      </c>
      <c r="S84" s="34">
        <v>0.16795959027624324</v>
      </c>
    </row>
    <row r="85" spans="5:19">
      <c r="E85" s="45" t="s">
        <v>5</v>
      </c>
      <c r="F85" s="32">
        <v>0.25644242826562591</v>
      </c>
      <c r="G85" s="30">
        <v>0.29059102727136926</v>
      </c>
      <c r="H85" s="30">
        <v>0.14194863377848085</v>
      </c>
      <c r="I85" s="30">
        <v>0.29468611483600743</v>
      </c>
      <c r="J85" s="30">
        <v>0.25246995948401085</v>
      </c>
      <c r="K85" s="30">
        <v>0.25819415505700954</v>
      </c>
      <c r="L85" s="34">
        <v>0.22569736897474452</v>
      </c>
      <c r="M85" s="32">
        <v>0.32613981104738948</v>
      </c>
      <c r="N85" s="30">
        <v>0.25369137814228143</v>
      </c>
      <c r="O85" s="30">
        <v>0.34476805639694963</v>
      </c>
      <c r="P85" s="30">
        <v>0.18709224468621055</v>
      </c>
      <c r="Q85" s="30">
        <v>0.22909463170514754</v>
      </c>
      <c r="R85" s="30">
        <v>0.37358916181958945</v>
      </c>
      <c r="S85" s="34">
        <v>0.37643737724624771</v>
      </c>
    </row>
    <row r="86" spans="5:19">
      <c r="E86" s="46" t="s">
        <v>6</v>
      </c>
      <c r="F86" s="37">
        <v>0.1695355548984166</v>
      </c>
      <c r="G86" s="36">
        <v>0.22210629334124851</v>
      </c>
      <c r="H86" s="36">
        <v>0.29167847243150696</v>
      </c>
      <c r="I86" s="36">
        <v>0.26119688302212346</v>
      </c>
      <c r="J86" s="36">
        <v>0.55850888498912354</v>
      </c>
      <c r="K86" s="36">
        <v>0.36474519721812049</v>
      </c>
      <c r="L86" s="35">
        <v>0.27039820701412914</v>
      </c>
      <c r="M86" s="37">
        <v>0.30725879037556492</v>
      </c>
      <c r="N86" s="36">
        <v>0.19588678956863198</v>
      </c>
      <c r="O86" s="36">
        <v>0.36570317669802938</v>
      </c>
      <c r="P86" s="36">
        <v>5.6132649901802278E-2</v>
      </c>
      <c r="Q86" s="36">
        <v>1.0771445577802297E-2</v>
      </c>
      <c r="R86" s="36">
        <v>0.27730896043253367</v>
      </c>
      <c r="S86" s="35">
        <v>0.27020245002506726</v>
      </c>
    </row>
    <row r="87" spans="5:19">
      <c r="E87" s="44" t="s">
        <v>7</v>
      </c>
      <c r="F87" s="11">
        <v>0.25509485069062748</v>
      </c>
      <c r="G87" s="12">
        <v>0.21307704051256404</v>
      </c>
      <c r="H87" s="12">
        <v>0.31346447338428379</v>
      </c>
      <c r="I87" s="12">
        <v>0.20148715148607843</v>
      </c>
      <c r="J87" s="12">
        <v>0.26069124757348022</v>
      </c>
      <c r="K87" s="12">
        <v>0.21787987899494765</v>
      </c>
      <c r="L87" s="13">
        <v>0.16335351320451758</v>
      </c>
      <c r="M87" s="11">
        <v>6.4509170356265674E-2</v>
      </c>
      <c r="N87" s="12">
        <v>0.20070665861046569</v>
      </c>
      <c r="O87" s="12">
        <v>0.2657892319463096</v>
      </c>
      <c r="P87" s="12">
        <v>0.20717117004266569</v>
      </c>
      <c r="Q87" s="12">
        <v>0.29841177443803946</v>
      </c>
      <c r="R87" s="12">
        <v>0.23753953314525877</v>
      </c>
      <c r="S87" s="13">
        <v>0.1726027999689472</v>
      </c>
    </row>
    <row r="88" spans="5:19">
      <c r="E88" s="45" t="s">
        <v>8</v>
      </c>
      <c r="F88" s="14">
        <v>0.19556683902989186</v>
      </c>
      <c r="G88" s="15">
        <v>0.26401210372242495</v>
      </c>
      <c r="H88" s="15">
        <v>0.2575780782623564</v>
      </c>
      <c r="I88" s="15">
        <v>0.2995352813083953</v>
      </c>
      <c r="J88" s="15">
        <v>0.377129685511149</v>
      </c>
      <c r="K88" s="15">
        <v>0.21483891024196985</v>
      </c>
      <c r="L88" s="16">
        <v>0.18663177016943369</v>
      </c>
      <c r="M88" s="14">
        <v>0.21038622700644941</v>
      </c>
      <c r="N88" s="15">
        <v>8.0509828548834941E-2</v>
      </c>
      <c r="O88" s="15">
        <v>0.30327403167944406</v>
      </c>
      <c r="P88" s="15">
        <v>0.22835292759134709</v>
      </c>
      <c r="Q88" s="15">
        <v>0.30673461574627281</v>
      </c>
      <c r="R88" s="15">
        <v>0.24617526895125644</v>
      </c>
      <c r="S88" s="16">
        <v>0.21474599101425798</v>
      </c>
    </row>
    <row r="89" spans="5:19">
      <c r="E89" s="45" t="s">
        <v>9</v>
      </c>
      <c r="F89" s="14">
        <v>0.32031896525983683</v>
      </c>
      <c r="G89" s="15">
        <v>0.26462954068026684</v>
      </c>
      <c r="H89" s="15">
        <v>0.34184046075285174</v>
      </c>
      <c r="I89" s="15">
        <v>0.35176761303581661</v>
      </c>
      <c r="J89" s="15">
        <v>0.36591665291499947</v>
      </c>
      <c r="K89" s="15">
        <v>0.24294753753080631</v>
      </c>
      <c r="L89" s="16">
        <v>0.37210855146387972</v>
      </c>
      <c r="M89" s="14">
        <v>0.27862569726172998</v>
      </c>
      <c r="N89" s="15">
        <v>0.30227585648473421</v>
      </c>
      <c r="O89" s="15">
        <v>0.11014798876679477</v>
      </c>
      <c r="P89" s="15">
        <v>0.33161712327285675</v>
      </c>
      <c r="Q89" s="15">
        <v>0.28025241996120215</v>
      </c>
      <c r="R89" s="15">
        <v>0.24477571585188629</v>
      </c>
      <c r="S89" s="16">
        <v>0.30307431936236795</v>
      </c>
    </row>
    <row r="90" spans="5:19">
      <c r="E90" s="45" t="s">
        <v>10</v>
      </c>
      <c r="F90" s="14">
        <v>0.24973097532111901</v>
      </c>
      <c r="G90" s="15">
        <v>0.24358042160372512</v>
      </c>
      <c r="H90" s="15">
        <v>0.25048060893646179</v>
      </c>
      <c r="I90" s="15">
        <v>0.31183092931647233</v>
      </c>
      <c r="J90" s="15">
        <v>0.50787504127602767</v>
      </c>
      <c r="K90" s="15">
        <v>0.23800243204808544</v>
      </c>
      <c r="L90" s="16">
        <v>0.1313149697856959</v>
      </c>
      <c r="M90" s="14">
        <v>0.20747940607488671</v>
      </c>
      <c r="N90" s="15">
        <v>0.23289976629743397</v>
      </c>
      <c r="O90" s="15">
        <v>0.25266669156483834</v>
      </c>
      <c r="P90" s="15">
        <v>0.32667703554222061</v>
      </c>
      <c r="Q90" s="15">
        <v>0.35499158288645222</v>
      </c>
      <c r="R90" s="15">
        <v>4.2301551227579948E-2</v>
      </c>
      <c r="S90" s="16">
        <v>0.14858174815512762</v>
      </c>
    </row>
    <row r="91" spans="5:19">
      <c r="E91" s="45" t="s">
        <v>11</v>
      </c>
      <c r="F91" s="14">
        <v>0.31316741029906903</v>
      </c>
      <c r="G91" s="15">
        <v>0.30038735748163342</v>
      </c>
      <c r="H91" s="15">
        <v>0.28811972552817067</v>
      </c>
      <c r="I91" s="15">
        <v>0.1461488559194484</v>
      </c>
      <c r="J91" s="15">
        <v>0.19057953485771578</v>
      </c>
      <c r="K91" s="15">
        <v>0.34757200318182413</v>
      </c>
      <c r="L91" s="16">
        <v>0.33451472187562103</v>
      </c>
      <c r="M91" s="14">
        <v>0.30469576770980317</v>
      </c>
      <c r="N91" s="15">
        <v>0.27181958176667886</v>
      </c>
      <c r="O91" s="15">
        <v>0.28621141629246266</v>
      </c>
      <c r="P91" s="15">
        <v>0.31335702897290502</v>
      </c>
      <c r="Q91" s="15">
        <v>0.29722147254915399</v>
      </c>
      <c r="R91" s="15">
        <v>0.29509748222994858</v>
      </c>
      <c r="S91" s="16">
        <v>0.5995338038097543</v>
      </c>
    </row>
    <row r="92" spans="5:19">
      <c r="E92" s="45" t="s">
        <v>12</v>
      </c>
      <c r="F92" s="14">
        <v>0.3269682411452946</v>
      </c>
      <c r="G92" s="15">
        <v>0.23902989879509537</v>
      </c>
      <c r="H92" s="15">
        <v>0.37661694706069238</v>
      </c>
      <c r="I92" s="15">
        <v>0.21212733008283055</v>
      </c>
      <c r="J92" s="15">
        <v>0.30688223764487749</v>
      </c>
      <c r="K92" s="15">
        <v>0.31177994314698088</v>
      </c>
      <c r="L92" s="16">
        <v>0.30121888447351092</v>
      </c>
      <c r="M92" s="14">
        <v>0.26372669224737999</v>
      </c>
      <c r="N92" s="15">
        <v>0.28534531114786643</v>
      </c>
      <c r="O92" s="15">
        <v>0.11924098079293205</v>
      </c>
      <c r="P92" s="15">
        <v>0.34201055287241533</v>
      </c>
      <c r="Q92" s="15">
        <v>0.22420513084054822</v>
      </c>
      <c r="R92" s="15">
        <v>0.26748752084389588</v>
      </c>
      <c r="S92" s="16">
        <v>0.34973133221577274</v>
      </c>
    </row>
    <row r="93" spans="5:19">
      <c r="E93" s="46" t="s">
        <v>13</v>
      </c>
      <c r="F93" s="17">
        <v>0.29868754651886298</v>
      </c>
      <c r="G93" s="18">
        <v>0.21812448146123578</v>
      </c>
      <c r="H93" s="18">
        <v>0.3632926778385796</v>
      </c>
      <c r="I93" s="18">
        <v>4.5711136233160046E-2</v>
      </c>
      <c r="J93" s="18">
        <v>0.55792527202295328</v>
      </c>
      <c r="K93" s="18">
        <v>0.34976196317061942</v>
      </c>
      <c r="L93" s="19">
        <v>0.47913486293753826</v>
      </c>
      <c r="M93" s="17">
        <v>0.1989121267942339</v>
      </c>
      <c r="N93" s="18">
        <v>0.22189194580773533</v>
      </c>
      <c r="O93" s="18">
        <v>0.21255308856692659</v>
      </c>
      <c r="P93" s="18">
        <v>0.3043311689639368</v>
      </c>
      <c r="Q93" s="18">
        <v>0.29424924318300327</v>
      </c>
      <c r="R93" s="18">
        <v>0.3042613060575744</v>
      </c>
      <c r="S93" s="19">
        <v>0.23035945895803422</v>
      </c>
    </row>
    <row r="95" spans="5:19">
      <c r="E95" s="76" t="s">
        <v>36</v>
      </c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8"/>
    </row>
    <row r="97" spans="5:19">
      <c r="E97" s="40" t="s">
        <v>21</v>
      </c>
      <c r="F97" s="41" t="s">
        <v>0</v>
      </c>
      <c r="G97" s="42" t="s">
        <v>1</v>
      </c>
      <c r="H97" s="42" t="s">
        <v>2</v>
      </c>
      <c r="I97" s="42" t="s">
        <v>3</v>
      </c>
      <c r="J97" s="42" t="s">
        <v>4</v>
      </c>
      <c r="K97" s="42" t="s">
        <v>5</v>
      </c>
      <c r="L97" s="43" t="s">
        <v>6</v>
      </c>
      <c r="M97" s="41" t="s">
        <v>7</v>
      </c>
      <c r="N97" s="42" t="s">
        <v>8</v>
      </c>
      <c r="O97" s="42" t="s">
        <v>9</v>
      </c>
      <c r="P97" s="42" t="s">
        <v>10</v>
      </c>
      <c r="Q97" s="42" t="s">
        <v>11</v>
      </c>
      <c r="R97" s="42" t="s">
        <v>12</v>
      </c>
      <c r="S97" s="43" t="s">
        <v>13</v>
      </c>
    </row>
    <row r="98" spans="5:19">
      <c r="E98" s="44" t="s">
        <v>0</v>
      </c>
      <c r="F98" s="29">
        <v>8.5732418494962506E-2</v>
      </c>
      <c r="G98" s="31">
        <v>0.23522434529016101</v>
      </c>
      <c r="H98" s="31">
        <v>0.249307211367675</v>
      </c>
      <c r="I98" s="31">
        <v>0.19718111650485601</v>
      </c>
      <c r="J98" s="31">
        <v>8.0182727272727197E-2</v>
      </c>
      <c r="K98" s="31">
        <v>5.5862378752886702E-2</v>
      </c>
      <c r="L98" s="33">
        <v>3.30687003610107E-2</v>
      </c>
      <c r="M98" s="29">
        <v>0.49616240963854602</v>
      </c>
      <c r="N98" s="31">
        <v>0.307939557855121</v>
      </c>
      <c r="O98" s="31">
        <v>0.71296119691119697</v>
      </c>
      <c r="P98" s="31">
        <v>0.10875843478260901</v>
      </c>
      <c r="Q98" s="31">
        <v>1.903E-3</v>
      </c>
      <c r="R98" s="31">
        <v>8.1035481171548004E-2</v>
      </c>
      <c r="S98" s="33">
        <v>6.2095381818181597E-2</v>
      </c>
    </row>
    <row r="99" spans="5:19">
      <c r="E99" s="45" t="s">
        <v>1</v>
      </c>
      <c r="F99" s="32">
        <v>0.156341549454068</v>
      </c>
      <c r="G99" s="30">
        <v>4.4188328605455802E-2</v>
      </c>
      <c r="H99" s="30">
        <v>0.104972225519288</v>
      </c>
      <c r="I99" s="30">
        <v>6.0654549549549998E-2</v>
      </c>
      <c r="J99" s="30">
        <v>4.1274479166666499E-3</v>
      </c>
      <c r="K99" s="30">
        <v>2.2085870535714199E-2</v>
      </c>
      <c r="L99" s="34">
        <v>3.6249821882951498E-2</v>
      </c>
      <c r="M99" s="32">
        <v>0.18980368940129799</v>
      </c>
      <c r="N99" s="30">
        <v>0.21568971735240799</v>
      </c>
      <c r="O99" s="30">
        <v>0.2814369250646</v>
      </c>
      <c r="P99" s="30"/>
      <c r="Q99" s="30"/>
      <c r="R99" s="30">
        <v>2.8038571428571302E-2</v>
      </c>
      <c r="S99" s="34">
        <v>2.4657285223367499E-2</v>
      </c>
    </row>
    <row r="100" spans="5:19">
      <c r="E100" s="45" t="s">
        <v>2</v>
      </c>
      <c r="F100" s="32">
        <v>0.85608618015963101</v>
      </c>
      <c r="G100" s="30">
        <v>1.01711399022801</v>
      </c>
      <c r="H100" s="30">
        <v>0.351034816326531</v>
      </c>
      <c r="I100" s="30">
        <v>0.55256928571428499</v>
      </c>
      <c r="J100" s="30">
        <v>2.4005555555555499E-2</v>
      </c>
      <c r="K100" s="30">
        <v>0.114665999999999</v>
      </c>
      <c r="L100" s="34">
        <v>1.4906200000000001</v>
      </c>
      <c r="M100" s="32">
        <v>1.0227502071005801</v>
      </c>
      <c r="N100" s="30">
        <v>0.87258738031914596</v>
      </c>
      <c r="O100" s="30">
        <v>0.99668163461538395</v>
      </c>
      <c r="P100" s="30">
        <v>0.36499888888888798</v>
      </c>
      <c r="Q100" s="30">
        <v>3.3453982300884898E-3</v>
      </c>
      <c r="R100" s="30">
        <v>0.57540100000000005</v>
      </c>
      <c r="S100" s="34">
        <v>0.66007071428571396</v>
      </c>
    </row>
    <row r="101" spans="5:19">
      <c r="E101" s="45" t="s">
        <v>3</v>
      </c>
      <c r="F101" s="32">
        <v>0.25403213315217499</v>
      </c>
      <c r="G101" s="30">
        <v>0.24862750337382</v>
      </c>
      <c r="H101" s="30">
        <v>1.6616220930232399E-2</v>
      </c>
      <c r="I101" s="30">
        <v>1.0000000000000001E-5</v>
      </c>
      <c r="J101" s="30"/>
      <c r="K101" s="30">
        <v>2.5124694533761899E-2</v>
      </c>
      <c r="L101" s="34">
        <v>0.124621132075471</v>
      </c>
      <c r="M101" s="32">
        <v>0.31448232464929898</v>
      </c>
      <c r="N101" s="30">
        <v>0.31689895522388101</v>
      </c>
      <c r="O101" s="30">
        <v>0.36533333333333301</v>
      </c>
      <c r="P101" s="30">
        <v>1.9985714285714199E-3</v>
      </c>
      <c r="Q101" s="30"/>
      <c r="R101" s="30">
        <v>0.21543000000000001</v>
      </c>
      <c r="S101" s="34">
        <v>9.29742372881356E-2</v>
      </c>
    </row>
    <row r="102" spans="5:19">
      <c r="E102" s="45" t="s">
        <v>4</v>
      </c>
      <c r="F102" s="32">
        <v>1.21639067484662</v>
      </c>
      <c r="G102" s="30">
        <v>1.54649047297297</v>
      </c>
      <c r="H102" s="30">
        <v>0.62919350877192903</v>
      </c>
      <c r="I102" s="30">
        <v>0.516217777777777</v>
      </c>
      <c r="J102" s="30"/>
      <c r="K102" s="30"/>
      <c r="L102" s="34"/>
      <c r="M102" s="32">
        <v>1.3596079720279699</v>
      </c>
      <c r="N102" s="30">
        <v>0.99724152439024405</v>
      </c>
      <c r="O102" s="30">
        <v>1.69366666666666</v>
      </c>
      <c r="P102" s="30">
        <v>0.85032880952380896</v>
      </c>
      <c r="Q102" s="30">
        <v>8.0000000000000002E-3</v>
      </c>
      <c r="R102" s="30">
        <v>0.32100000000000001</v>
      </c>
      <c r="S102" s="34"/>
    </row>
    <row r="103" spans="5:19">
      <c r="E103" s="45" t="s">
        <v>5</v>
      </c>
      <c r="F103" s="32">
        <v>0.40332698602794498</v>
      </c>
      <c r="G103" s="30">
        <v>0.60843990196078401</v>
      </c>
      <c r="H103" s="30">
        <v>0.13614267657992499</v>
      </c>
      <c r="I103" s="30">
        <v>0.53187499999999999</v>
      </c>
      <c r="J103" s="30"/>
      <c r="K103" s="30">
        <v>2E-3</v>
      </c>
      <c r="L103" s="34"/>
      <c r="M103" s="32">
        <v>0.86042775700934604</v>
      </c>
      <c r="N103" s="30">
        <v>0.36090660633484201</v>
      </c>
      <c r="O103" s="30">
        <v>1.13576923076923</v>
      </c>
      <c r="P103" s="30">
        <v>0.23516947019867501</v>
      </c>
      <c r="Q103" s="30">
        <v>6.5096080000000001E-2</v>
      </c>
      <c r="R103" s="30"/>
      <c r="S103" s="34"/>
    </row>
    <row r="104" spans="5:19">
      <c r="E104" s="46" t="s">
        <v>6</v>
      </c>
      <c r="F104" s="37">
        <v>0.177847184210526</v>
      </c>
      <c r="G104" s="36">
        <v>8.5784304932735297E-2</v>
      </c>
      <c r="H104" s="36">
        <v>0.180455227272727</v>
      </c>
      <c r="I104" s="36"/>
      <c r="J104" s="36">
        <v>1E-3</v>
      </c>
      <c r="K104" s="36"/>
      <c r="L104" s="35">
        <v>1E-3</v>
      </c>
      <c r="M104" s="37"/>
      <c r="N104" s="36">
        <v>0.175503636363636</v>
      </c>
      <c r="O104" s="36">
        <v>0.62078</v>
      </c>
      <c r="P104" s="36">
        <v>5.4930693950178001E-2</v>
      </c>
      <c r="Q104" s="36">
        <v>3.0470000000000001E-2</v>
      </c>
      <c r="R104" s="36">
        <v>0.38300000000000001</v>
      </c>
      <c r="S104" s="35">
        <v>1.0000000000000001E-5</v>
      </c>
    </row>
    <row r="105" spans="5:19">
      <c r="E105" s="44" t="s">
        <v>7</v>
      </c>
      <c r="F105" s="11">
        <v>0.454628439114383</v>
      </c>
      <c r="G105" s="12">
        <v>0.27984040139615302</v>
      </c>
      <c r="H105" s="12">
        <v>0.87368293948126696</v>
      </c>
      <c r="I105" s="12">
        <v>0.110118083832335</v>
      </c>
      <c r="J105" s="12">
        <v>2.0396153846153802E-3</v>
      </c>
      <c r="K105" s="12">
        <v>5.8347074074073899E-2</v>
      </c>
      <c r="L105" s="13">
        <v>4.3297777777777498E-2</v>
      </c>
      <c r="M105" s="11">
        <v>7.4011881283313305E-2</v>
      </c>
      <c r="N105" s="12">
        <v>0.21856512914051299</v>
      </c>
      <c r="O105" s="12">
        <v>0.18865882352941299</v>
      </c>
      <c r="P105" s="12">
        <v>0.226347314285715</v>
      </c>
      <c r="Q105" s="12">
        <v>2.1119491525423702E-2</v>
      </c>
      <c r="R105" s="12">
        <v>6.1165620767494301E-2</v>
      </c>
      <c r="S105" s="13">
        <v>6.5305288461538297E-2</v>
      </c>
    </row>
    <row r="106" spans="5:19">
      <c r="E106" s="45" t="s">
        <v>8</v>
      </c>
      <c r="F106" s="14">
        <v>0.21983600756702801</v>
      </c>
      <c r="G106" s="15">
        <v>0.180454123557866</v>
      </c>
      <c r="H106" s="15">
        <v>0.28851288557214</v>
      </c>
      <c r="I106" s="15"/>
      <c r="J106" s="15"/>
      <c r="K106" s="15">
        <v>7.8372839506172694E-3</v>
      </c>
      <c r="L106" s="16">
        <v>1.6759025423728799E-2</v>
      </c>
      <c r="M106" s="14">
        <v>0.16282303776179899</v>
      </c>
      <c r="N106" s="15">
        <v>4.9843540784694301E-2</v>
      </c>
      <c r="O106" s="15">
        <v>0.106505537037037</v>
      </c>
      <c r="P106" s="15">
        <v>8.4560980198020094E-2</v>
      </c>
      <c r="Q106" s="15">
        <v>1.5800617977527999E-2</v>
      </c>
      <c r="R106" s="15">
        <v>1.66252954545454E-2</v>
      </c>
      <c r="S106" s="16">
        <v>5.3185628140703399E-2</v>
      </c>
    </row>
    <row r="107" spans="5:19">
      <c r="E107" s="45" t="s">
        <v>9</v>
      </c>
      <c r="F107" s="14">
        <v>1.17566474206349</v>
      </c>
      <c r="G107" s="15">
        <v>0.58116738186462102</v>
      </c>
      <c r="H107" s="15">
        <v>1.1185209859154901</v>
      </c>
      <c r="I107" s="15">
        <v>0.21286166666666601</v>
      </c>
      <c r="J107" s="15">
        <v>8.3271818181818204E-3</v>
      </c>
      <c r="K107" s="15">
        <v>0.30371428571428499</v>
      </c>
      <c r="L107" s="16">
        <v>0.169887777777777</v>
      </c>
      <c r="M107" s="14">
        <v>0.70303026515151301</v>
      </c>
      <c r="N107" s="15">
        <v>0.85654897916666595</v>
      </c>
      <c r="O107" s="15">
        <v>0.21593391705069201</v>
      </c>
      <c r="P107" s="15">
        <v>0.69195729166666597</v>
      </c>
      <c r="Q107" s="15">
        <v>0.17291363636363599</v>
      </c>
      <c r="R107" s="15">
        <v>5.8099032258064502E-2</v>
      </c>
      <c r="S107" s="16">
        <v>4.4331666666666603E-2</v>
      </c>
    </row>
    <row r="108" spans="5:19">
      <c r="E108" s="45" t="s">
        <v>10</v>
      </c>
      <c r="F108" s="14">
        <v>0.35396459459459501</v>
      </c>
      <c r="G108" s="15">
        <v>0.38112518110236299</v>
      </c>
      <c r="H108" s="15">
        <v>0.62919799999999904</v>
      </c>
      <c r="I108" s="15">
        <v>1.26671428571428E-2</v>
      </c>
      <c r="J108" s="15"/>
      <c r="K108" s="15">
        <v>5.9176094420600699E-2</v>
      </c>
      <c r="L108" s="16">
        <v>0.13443595348837201</v>
      </c>
      <c r="M108" s="14">
        <v>0.26804740310077602</v>
      </c>
      <c r="N108" s="15">
        <v>0.26007339939024499</v>
      </c>
      <c r="O108" s="15">
        <v>1.97261481481481E-2</v>
      </c>
      <c r="P108" s="15"/>
      <c r="Q108" s="15"/>
      <c r="R108" s="15">
        <v>9.3080769230769102E-3</v>
      </c>
      <c r="S108" s="16">
        <v>0.32006810344827502</v>
      </c>
    </row>
    <row r="109" spans="5:19">
      <c r="E109" s="45" t="s">
        <v>11</v>
      </c>
      <c r="F109" s="14">
        <v>1.4083949586776801</v>
      </c>
      <c r="G109" s="15">
        <v>1.0047433870967699</v>
      </c>
      <c r="H109" s="15">
        <v>1.2852142857142801</v>
      </c>
      <c r="I109" s="15">
        <v>0.74773619047619</v>
      </c>
      <c r="J109" s="15"/>
      <c r="K109" s="15">
        <v>0.40899999999999997</v>
      </c>
      <c r="L109" s="16"/>
      <c r="M109" s="14">
        <v>1.1102695483870899</v>
      </c>
      <c r="N109" s="15">
        <v>1.27956079470198</v>
      </c>
      <c r="O109" s="15">
        <v>0.63990243902439004</v>
      </c>
      <c r="P109" s="15">
        <v>1.9213724999999999</v>
      </c>
      <c r="Q109" s="15"/>
      <c r="R109" s="15">
        <v>1E-3</v>
      </c>
      <c r="S109" s="16">
        <v>6.4000000000000001E-2</v>
      </c>
    </row>
    <row r="110" spans="5:19">
      <c r="E110" s="45" t="s">
        <v>12</v>
      </c>
      <c r="F110" s="14">
        <v>1.1234057142857099</v>
      </c>
      <c r="G110" s="15">
        <v>0.36678143162393201</v>
      </c>
      <c r="H110" s="15">
        <v>0.72727611111111101</v>
      </c>
      <c r="I110" s="15">
        <v>0.164779393939394</v>
      </c>
      <c r="J110" s="15">
        <v>6.7498484848484801E-3</v>
      </c>
      <c r="K110" s="15">
        <v>2.621</v>
      </c>
      <c r="L110" s="16">
        <v>0.501</v>
      </c>
      <c r="M110" s="14">
        <v>0.40162853564547302</v>
      </c>
      <c r="N110" s="15">
        <v>0.43910015151515203</v>
      </c>
      <c r="O110" s="15">
        <v>0.109515985915493</v>
      </c>
      <c r="P110" s="15">
        <v>1.5106666666666599</v>
      </c>
      <c r="Q110" s="15"/>
      <c r="R110" s="15">
        <v>3.58366666666666E-2</v>
      </c>
      <c r="S110" s="16"/>
    </row>
    <row r="111" spans="5:19">
      <c r="E111" s="46" t="s">
        <v>13</v>
      </c>
      <c r="F111" s="17"/>
      <c r="G111" s="18">
        <v>0.14738175384615401</v>
      </c>
      <c r="H111" s="18">
        <v>0.18689111111111101</v>
      </c>
      <c r="I111" s="18">
        <v>0.10777845149253699</v>
      </c>
      <c r="J111" s="18">
        <v>1.1999999999999899E-3</v>
      </c>
      <c r="K111" s="18">
        <v>1E-3</v>
      </c>
      <c r="L111" s="19"/>
      <c r="M111" s="17">
        <v>0.104848193069307</v>
      </c>
      <c r="N111" s="18">
        <v>0.12854247787610601</v>
      </c>
      <c r="O111" s="18">
        <v>0.213512857142857</v>
      </c>
      <c r="P111" s="18">
        <v>2E-3</v>
      </c>
      <c r="Q111" s="18"/>
      <c r="R111" s="18"/>
      <c r="S111" s="19"/>
    </row>
    <row r="113" spans="5:19">
      <c r="E113" s="76" t="s">
        <v>38</v>
      </c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8"/>
    </row>
    <row r="115" spans="5:19">
      <c r="E115" s="40" t="s">
        <v>21</v>
      </c>
      <c r="F115" s="41" t="s">
        <v>0</v>
      </c>
      <c r="G115" s="42" t="s">
        <v>1</v>
      </c>
      <c r="H115" s="42" t="s">
        <v>2</v>
      </c>
      <c r="I115" s="42" t="s">
        <v>3</v>
      </c>
      <c r="J115" s="42" t="s">
        <v>4</v>
      </c>
      <c r="K115" s="42" t="s">
        <v>5</v>
      </c>
      <c r="L115" s="43" t="s">
        <v>6</v>
      </c>
      <c r="M115" s="41" t="s">
        <v>7</v>
      </c>
      <c r="N115" s="42" t="s">
        <v>8</v>
      </c>
      <c r="O115" s="42" t="s">
        <v>9</v>
      </c>
      <c r="P115" s="42" t="s">
        <v>10</v>
      </c>
      <c r="Q115" s="42" t="s">
        <v>11</v>
      </c>
      <c r="R115" s="42" t="s">
        <v>12</v>
      </c>
      <c r="S115" s="43" t="s">
        <v>13</v>
      </c>
    </row>
    <row r="116" spans="5:19">
      <c r="E116" s="44" t="s">
        <v>0</v>
      </c>
      <c r="F116" s="209">
        <v>9.9905462085300697E-2</v>
      </c>
      <c r="G116" s="210">
        <v>-7.2601803864568104E-2</v>
      </c>
      <c r="H116" s="210">
        <v>3.3104325729460801E-2</v>
      </c>
      <c r="I116" s="210">
        <v>-0.384545089398381</v>
      </c>
      <c r="J116" s="210">
        <v>-0.32985234713682898</v>
      </c>
      <c r="K116" s="210">
        <v>-0.15127604366056699</v>
      </c>
      <c r="L116" s="211">
        <v>-0.168260848967065</v>
      </c>
      <c r="M116" s="209">
        <v>-6.80338487428752E-2</v>
      </c>
      <c r="N116" s="210">
        <v>6.1727562713571403E-2</v>
      </c>
      <c r="O116" s="210">
        <v>-0.184205855358412</v>
      </c>
      <c r="P116" s="210">
        <v>0.36603130909763198</v>
      </c>
      <c r="Q116" s="210">
        <v>0.298722828774653</v>
      </c>
      <c r="R116" s="210">
        <v>-0.109675134137715</v>
      </c>
      <c r="S116" s="211">
        <v>8.4202653872626598E-2</v>
      </c>
    </row>
    <row r="117" spans="5:19">
      <c r="E117" s="45" t="s">
        <v>1</v>
      </c>
      <c r="F117" s="212">
        <v>-8.1173198711979894E-2</v>
      </c>
      <c r="G117" s="213">
        <v>-0.176773261280325</v>
      </c>
      <c r="H117" s="213">
        <v>-5.1934771054012504E-3</v>
      </c>
      <c r="I117" s="213">
        <v>-0.40068279512885502</v>
      </c>
      <c r="J117" s="213">
        <v>-0.25984604752915602</v>
      </c>
      <c r="K117" s="213">
        <v>-0.120545263866407</v>
      </c>
      <c r="L117" s="214">
        <v>-0.18571041586088999</v>
      </c>
      <c r="M117" s="212">
        <v>-0.132620596724013</v>
      </c>
      <c r="N117" s="213">
        <v>-4.4729627382706902E-2</v>
      </c>
      <c r="O117" s="213">
        <v>-0.205072645035279</v>
      </c>
      <c r="P117" s="213"/>
      <c r="Q117" s="213"/>
      <c r="R117" s="213">
        <v>-5.5175502387183703E-2</v>
      </c>
      <c r="S117" s="214">
        <v>2.6651717174692498E-2</v>
      </c>
    </row>
    <row r="118" spans="5:19">
      <c r="E118" s="45" t="s">
        <v>2</v>
      </c>
      <c r="F118" s="212">
        <v>3.3159195074470599E-2</v>
      </c>
      <c r="G118" s="213">
        <v>-7.7078482383726304E-2</v>
      </c>
      <c r="H118" s="213">
        <v>0.10829855369722401</v>
      </c>
      <c r="I118" s="213">
        <v>-0.390948541971536</v>
      </c>
      <c r="J118" s="213">
        <v>-0.19486807230709599</v>
      </c>
      <c r="K118" s="213">
        <v>-0.14538102977964101</v>
      </c>
      <c r="L118" s="214">
        <v>-0.21446674640934801</v>
      </c>
      <c r="M118" s="212">
        <v>1.23261300307289E-2</v>
      </c>
      <c r="N118" s="213">
        <v>8.1821481175145996E-2</v>
      </c>
      <c r="O118" s="213">
        <v>-8.0032070231368893E-2</v>
      </c>
      <c r="P118" s="213">
        <v>0.34496642484183798</v>
      </c>
      <c r="Q118" s="213">
        <v>0.24975132998221899</v>
      </c>
      <c r="R118" s="213">
        <v>-1.2894031578603299E-2</v>
      </c>
      <c r="S118" s="214">
        <v>9.3962488834249305E-2</v>
      </c>
    </row>
    <row r="119" spans="5:19">
      <c r="E119" s="45" t="s">
        <v>3</v>
      </c>
      <c r="F119" s="212">
        <v>3.1985990939469501E-2</v>
      </c>
      <c r="G119" s="213">
        <v>2.28579145681252E-2</v>
      </c>
      <c r="H119" s="213">
        <v>3.8789976135843299E-2</v>
      </c>
      <c r="I119" s="213">
        <v>0</v>
      </c>
      <c r="J119" s="213"/>
      <c r="K119" s="213">
        <v>-2.49383769471671E-3</v>
      </c>
      <c r="L119" s="214">
        <v>-5.7678642737837897E-2</v>
      </c>
      <c r="M119" s="212">
        <v>7.4148555518791598E-2</v>
      </c>
      <c r="N119" s="213">
        <v>0.106569445993788</v>
      </c>
      <c r="O119" s="213">
        <v>1.2328042328042301E-2</v>
      </c>
      <c r="P119" s="213">
        <v>0.36558225170138697</v>
      </c>
      <c r="Q119" s="213"/>
      <c r="R119" s="213">
        <v>0.134094410099142</v>
      </c>
      <c r="S119" s="214">
        <v>0.145409445815848</v>
      </c>
    </row>
    <row r="120" spans="5:19">
      <c r="E120" s="45" t="s">
        <v>4</v>
      </c>
      <c r="F120" s="212">
        <v>0.19694921070167601</v>
      </c>
      <c r="G120" s="213">
        <v>0.120979461180703</v>
      </c>
      <c r="H120" s="213">
        <v>0.28487052413991099</v>
      </c>
      <c r="I120" s="213">
        <v>-0.36103413494717801</v>
      </c>
      <c r="J120" s="213"/>
      <c r="K120" s="213"/>
      <c r="L120" s="214"/>
      <c r="M120" s="212">
        <v>0.115933945367974</v>
      </c>
      <c r="N120" s="213">
        <v>0.20617675130274299</v>
      </c>
      <c r="O120" s="213">
        <v>2.69405539993775E-2</v>
      </c>
      <c r="P120" s="213">
        <v>0.39425803969509099</v>
      </c>
      <c r="Q120" s="213">
        <v>0.41304347826086901</v>
      </c>
      <c r="R120" s="213">
        <v>-3.8461538461538401E-2</v>
      </c>
      <c r="S120" s="214"/>
    </row>
    <row r="121" spans="5:19">
      <c r="E121" s="45" t="s">
        <v>5</v>
      </c>
      <c r="F121" s="212">
        <v>0.33908320674796699</v>
      </c>
      <c r="G121" s="213">
        <v>0.23677356768543401</v>
      </c>
      <c r="H121" s="213">
        <v>0.32954592453568798</v>
      </c>
      <c r="I121" s="213">
        <v>-0.279464285714285</v>
      </c>
      <c r="J121" s="213"/>
      <c r="K121" s="213">
        <v>0.35714285714285698</v>
      </c>
      <c r="L121" s="214"/>
      <c r="M121" s="212">
        <v>0.13035594497073599</v>
      </c>
      <c r="N121" s="213">
        <v>0.34376156091940602</v>
      </c>
      <c r="O121" s="213">
        <v>0.19541489470282</v>
      </c>
      <c r="P121" s="213">
        <v>0.40244432902765298</v>
      </c>
      <c r="Q121" s="213">
        <v>0.41224468679849002</v>
      </c>
      <c r="R121" s="213"/>
      <c r="S121" s="214"/>
    </row>
    <row r="122" spans="5:19">
      <c r="E122" s="46" t="s">
        <v>6</v>
      </c>
      <c r="F122" s="215">
        <v>0.38992800887755702</v>
      </c>
      <c r="G122" s="216">
        <v>0.357343879573842</v>
      </c>
      <c r="H122" s="216">
        <v>0.35695961707289903</v>
      </c>
      <c r="I122" s="216"/>
      <c r="J122" s="216">
        <v>0</v>
      </c>
      <c r="K122" s="216"/>
      <c r="L122" s="217">
        <v>0.3</v>
      </c>
      <c r="M122" s="215"/>
      <c r="N122" s="216">
        <v>0.38542534102252002</v>
      </c>
      <c r="O122" s="216">
        <v>0.248404681738015</v>
      </c>
      <c r="P122" s="216">
        <v>0.39877648109313402</v>
      </c>
      <c r="Q122" s="216">
        <v>0.39245611541791697</v>
      </c>
      <c r="R122" s="216">
        <v>0.28125</v>
      </c>
      <c r="S122" s="217">
        <v>0.44999999999999901</v>
      </c>
    </row>
    <row r="123" spans="5:19">
      <c r="E123" s="44" t="s">
        <v>7</v>
      </c>
      <c r="F123" s="83">
        <v>4.1586665171067003E-2</v>
      </c>
      <c r="G123" s="84">
        <v>-8.4605593533508897E-2</v>
      </c>
      <c r="H123" s="84">
        <v>0.12356175481079799</v>
      </c>
      <c r="I123" s="84">
        <v>-0.36471606551218499</v>
      </c>
      <c r="J123" s="84">
        <v>-0.33753575166835897</v>
      </c>
      <c r="K123" s="84">
        <v>7.2770796237683996E-2</v>
      </c>
      <c r="L123" s="85">
        <v>-0.13257378720835999</v>
      </c>
      <c r="M123" s="83">
        <v>-0.117936186435812</v>
      </c>
      <c r="N123" s="84">
        <v>4.2214444254743397E-2</v>
      </c>
      <c r="O123" s="84">
        <v>-5.5619169979571802E-2</v>
      </c>
      <c r="P123" s="84">
        <v>0.36719089112522002</v>
      </c>
      <c r="Q123" s="84">
        <v>0.308848626330535</v>
      </c>
      <c r="R123" s="84">
        <v>0.11748042164024999</v>
      </c>
      <c r="S123" s="85">
        <v>0.14822179182482301</v>
      </c>
    </row>
    <row r="124" spans="5:19">
      <c r="E124" s="45" t="s">
        <v>8</v>
      </c>
      <c r="F124" s="86">
        <v>0.105993129702547</v>
      </c>
      <c r="G124" s="87">
        <v>3.23762273213794E-3</v>
      </c>
      <c r="H124" s="87">
        <v>0.19352969658929201</v>
      </c>
      <c r="I124" s="87"/>
      <c r="J124" s="87"/>
      <c r="K124" s="87">
        <v>5.6159035224220402E-2</v>
      </c>
      <c r="L124" s="88">
        <v>-4.8860835479998102E-2</v>
      </c>
      <c r="M124" s="86">
        <v>5.3262323374033103E-2</v>
      </c>
      <c r="N124" s="87">
        <v>0.15463285289956599</v>
      </c>
      <c r="O124" s="87">
        <v>-3.08709378471714E-2</v>
      </c>
      <c r="P124" s="87">
        <v>0.39061055793615201</v>
      </c>
      <c r="Q124" s="87">
        <v>0.25572286157304402</v>
      </c>
      <c r="R124" s="87">
        <v>8.3214842135471201E-2</v>
      </c>
      <c r="S124" s="88">
        <v>0.143943452105049</v>
      </c>
    </row>
    <row r="125" spans="5:19">
      <c r="E125" s="45" t="s">
        <v>9</v>
      </c>
      <c r="F125" s="86">
        <v>-4.8967910079383802E-2</v>
      </c>
      <c r="G125" s="87">
        <v>-9.5762791038125697E-2</v>
      </c>
      <c r="H125" s="87">
        <v>5.8688261932670099E-2</v>
      </c>
      <c r="I125" s="87">
        <v>-0.34296259052245398</v>
      </c>
      <c r="J125" s="87">
        <v>-0.30051994156900402</v>
      </c>
      <c r="K125" s="87">
        <v>-5.2145470276465801E-2</v>
      </c>
      <c r="L125" s="88">
        <v>-1.47383467266508E-2</v>
      </c>
      <c r="M125" s="86">
        <v>-4.4926539793208098E-2</v>
      </c>
      <c r="N125" s="87">
        <v>3.55764793665388E-2</v>
      </c>
      <c r="O125" s="87">
        <v>-8.0686439156473194E-2</v>
      </c>
      <c r="P125" s="87">
        <v>0.38756219702384898</v>
      </c>
      <c r="Q125" s="87">
        <v>0.16215221256593201</v>
      </c>
      <c r="R125" s="87">
        <v>0.20848208718219999</v>
      </c>
      <c r="S125" s="88">
        <v>2.2248427672955901E-2</v>
      </c>
    </row>
    <row r="126" spans="5:19">
      <c r="E126" s="45" t="s">
        <v>10</v>
      </c>
      <c r="F126" s="86">
        <v>-0.10869923311280399</v>
      </c>
      <c r="G126" s="87">
        <v>-0.13534476720791999</v>
      </c>
      <c r="H126" s="87">
        <v>-0.257411216234745</v>
      </c>
      <c r="I126" s="87">
        <v>-0.38767214143483603</v>
      </c>
      <c r="J126" s="87"/>
      <c r="K126" s="87">
        <v>-0.15346453607190999</v>
      </c>
      <c r="L126" s="88">
        <v>-0.18553675565639899</v>
      </c>
      <c r="M126" s="86">
        <v>-9.1375411825098202E-2</v>
      </c>
      <c r="N126" s="87">
        <v>-5.4961778811326002E-2</v>
      </c>
      <c r="O126" s="87">
        <v>-9.9168283870669199E-2</v>
      </c>
      <c r="P126" s="87"/>
      <c r="Q126" s="87"/>
      <c r="R126" s="87">
        <v>-4.3052807037969501E-2</v>
      </c>
      <c r="S126" s="88">
        <v>5.4063911344650897E-2</v>
      </c>
    </row>
    <row r="127" spans="5:19">
      <c r="E127" s="45" t="s">
        <v>11</v>
      </c>
      <c r="F127" s="86">
        <v>-0.125795291419843</v>
      </c>
      <c r="G127" s="87">
        <v>-0.20079693324960901</v>
      </c>
      <c r="H127" s="87">
        <v>-6.0068926014448402E-2</v>
      </c>
      <c r="I127" s="87">
        <v>-0.39131950347877797</v>
      </c>
      <c r="J127" s="87"/>
      <c r="K127" s="87">
        <v>-0.233333333333333</v>
      </c>
      <c r="L127" s="88"/>
      <c r="M127" s="86">
        <v>-0.17313153661668901</v>
      </c>
      <c r="N127" s="87">
        <v>-0.107232021944899</v>
      </c>
      <c r="O127" s="87">
        <v>-0.29422186747325002</v>
      </c>
      <c r="P127" s="87">
        <v>0.34502801120448101</v>
      </c>
      <c r="Q127" s="87"/>
      <c r="R127" s="87">
        <v>7.5367647058823498E-2</v>
      </c>
      <c r="S127" s="88">
        <v>0.23076923076923</v>
      </c>
    </row>
    <row r="128" spans="5:19">
      <c r="E128" s="45" t="s">
        <v>12</v>
      </c>
      <c r="F128" s="86">
        <v>-0.14225900486405399</v>
      </c>
      <c r="G128" s="87">
        <v>-0.35256604791558899</v>
      </c>
      <c r="H128" s="87">
        <v>-0.20990667874799099</v>
      </c>
      <c r="I128" s="87">
        <v>-0.42418563288634198</v>
      </c>
      <c r="J128" s="87">
        <v>-0.42031681118236802</v>
      </c>
      <c r="K128" s="87">
        <v>-8.8888888888888795E-2</v>
      </c>
      <c r="L128" s="88">
        <v>-0.25</v>
      </c>
      <c r="M128" s="86">
        <v>-0.32327700001642401</v>
      </c>
      <c r="N128" s="87">
        <v>-0.280052382866877</v>
      </c>
      <c r="O128" s="87">
        <v>-0.36169361958481</v>
      </c>
      <c r="P128" s="87">
        <v>0.30720899470899399</v>
      </c>
      <c r="Q128" s="87"/>
      <c r="R128" s="87">
        <v>-0.11128346961680199</v>
      </c>
      <c r="S128" s="88"/>
    </row>
    <row r="129" spans="5:19">
      <c r="E129" s="46" t="s">
        <v>13</v>
      </c>
      <c r="F129" s="89"/>
      <c r="G129" s="90">
        <v>-0.38830092303146502</v>
      </c>
      <c r="H129" s="90">
        <v>-0.396267621267621</v>
      </c>
      <c r="I129" s="90">
        <v>-0.41676199191725499</v>
      </c>
      <c r="J129" s="90">
        <v>-0.31212121212121202</v>
      </c>
      <c r="K129" s="90">
        <v>-0.40909090909090901</v>
      </c>
      <c r="L129" s="91"/>
      <c r="M129" s="89">
        <v>-0.40103340769038598</v>
      </c>
      <c r="N129" s="90">
        <v>-0.36948693633829899</v>
      </c>
      <c r="O129" s="90">
        <v>-0.35589011335486098</v>
      </c>
      <c r="P129" s="90">
        <v>-0.15</v>
      </c>
      <c r="Q129" s="90"/>
      <c r="R129" s="90"/>
      <c r="S129" s="91"/>
    </row>
  </sheetData>
  <mergeCells count="6">
    <mergeCell ref="E22:S22"/>
    <mergeCell ref="E41:S41"/>
    <mergeCell ref="E59:S59"/>
    <mergeCell ref="E77:S77"/>
    <mergeCell ref="E95:S95"/>
    <mergeCell ref="E113:S113"/>
  </mergeCells>
  <conditionalFormatting sqref="C7:C20">
    <cfRule type="colorScale" priority="13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7:S20">
    <cfRule type="colorScale" priority="12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3:S3">
    <cfRule type="colorScale" priority="11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V7:V20">
    <cfRule type="colorScale" priority="10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Y7:Y20">
    <cfRule type="colorScale" priority="9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98:S111">
    <cfRule type="colorScale" priority="8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44:S57">
    <cfRule type="colorScale" priority="7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80:S93">
    <cfRule type="colorScale" priority="6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116:S129">
    <cfRule type="colorScale" priority="5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25:S38">
    <cfRule type="colorScale" priority="4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C25:C38">
    <cfRule type="colorScale" priority="3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V62:V75">
    <cfRule type="colorScale" priority="2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Y62:Y75">
    <cfRule type="colorScale" priority="1">
      <colorScale>
        <cfvo type="min"/>
        <cfvo type="percentile" val="50"/>
        <cfvo type="max"/>
        <color rgb="FFFF0000"/>
        <color theme="0"/>
        <color rgb="FF00B0F0"/>
      </colorScale>
    </cfRule>
  </conditionalFormatting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5A2E-1950-CB49-99E2-6AE4BE46B355}">
  <dimension ref="B2:Z129"/>
  <sheetViews>
    <sheetView showGridLines="0" tabSelected="1" workbookViewId="0">
      <selection activeCell="C41" sqref="C41"/>
    </sheetView>
  </sheetViews>
  <sheetFormatPr baseColWidth="10" defaultRowHeight="16"/>
  <cols>
    <col min="1" max="1" width="2.83203125" customWidth="1"/>
    <col min="2" max="2" width="6.83203125" bestFit="1" customWidth="1"/>
    <col min="3" max="3" width="9.5" customWidth="1"/>
    <col min="4" max="4" width="7.1640625" customWidth="1"/>
    <col min="5" max="5" width="6.83203125" bestFit="1" customWidth="1"/>
    <col min="6" max="19" width="7.6640625" customWidth="1"/>
    <col min="20" max="20" width="2.33203125" customWidth="1"/>
    <col min="21" max="21" width="8.1640625" bestFit="1" customWidth="1"/>
    <col min="22" max="22" width="13.33203125" bestFit="1" customWidth="1"/>
    <col min="23" max="23" width="6.1640625" customWidth="1"/>
    <col min="24" max="24" width="7.5" customWidth="1"/>
    <col min="25" max="25" width="10" customWidth="1"/>
    <col min="27" max="27" width="8.6640625" bestFit="1" customWidth="1"/>
    <col min="28" max="29" width="6.6640625" bestFit="1" customWidth="1"/>
    <col min="30" max="31" width="5.6640625" bestFit="1" customWidth="1"/>
    <col min="32" max="32" width="6.6640625" bestFit="1" customWidth="1"/>
    <col min="33" max="33" width="6.1640625" bestFit="1" customWidth="1"/>
    <col min="34" max="34" width="5.33203125" bestFit="1" customWidth="1"/>
    <col min="35" max="36" width="6.6640625" bestFit="1" customWidth="1"/>
    <col min="37" max="38" width="5.6640625" bestFit="1" customWidth="1"/>
    <col min="39" max="39" width="6.6640625" bestFit="1" customWidth="1"/>
    <col min="40" max="40" width="6.1640625" bestFit="1" customWidth="1"/>
    <col min="41" max="41" width="5.33203125" bestFit="1" customWidth="1"/>
  </cols>
  <sheetData>
    <row r="2" spans="2:25">
      <c r="E2" s="20"/>
      <c r="F2" s="4" t="s">
        <v>0</v>
      </c>
      <c r="G2" s="5" t="s">
        <v>1</v>
      </c>
      <c r="H2" s="5" t="s">
        <v>2</v>
      </c>
      <c r="I2" s="5" t="s">
        <v>3</v>
      </c>
      <c r="J2" s="5" t="s">
        <v>4</v>
      </c>
      <c r="K2" s="5" t="s">
        <v>5</v>
      </c>
      <c r="L2" s="6" t="s">
        <v>6</v>
      </c>
      <c r="M2" s="4" t="s">
        <v>7</v>
      </c>
      <c r="N2" s="5" t="s">
        <v>8</v>
      </c>
      <c r="O2" s="5" t="s">
        <v>9</v>
      </c>
      <c r="P2" s="5" t="s">
        <v>10</v>
      </c>
      <c r="Q2" s="5" t="s">
        <v>11</v>
      </c>
      <c r="R2" s="5" t="s">
        <v>12</v>
      </c>
      <c r="S2" s="6" t="s">
        <v>13</v>
      </c>
    </row>
    <row r="3" spans="2:25">
      <c r="B3" s="39" t="s">
        <v>15</v>
      </c>
      <c r="C3" s="38">
        <v>38500</v>
      </c>
      <c r="E3" s="20"/>
      <c r="F3" s="21">
        <f>C7</f>
        <v>1.51878045467599</v>
      </c>
      <c r="G3" s="22">
        <f>C8</f>
        <v>1.0609337161347201</v>
      </c>
      <c r="H3" s="22">
        <f>C9</f>
        <v>0.51150771852670396</v>
      </c>
      <c r="I3" s="22">
        <f>C10</f>
        <v>0.13294626140538701</v>
      </c>
      <c r="J3" s="22">
        <f>C11</f>
        <v>8.5249938709489201E-2</v>
      </c>
      <c r="K3" s="22">
        <f>C12</f>
        <v>0.13421815606965401</v>
      </c>
      <c r="L3" s="23">
        <f>C13</f>
        <v>9.6449970484074193E-2</v>
      </c>
      <c r="M3" s="21">
        <f>C14</f>
        <v>1.4828671095071</v>
      </c>
      <c r="N3" s="22">
        <f>C15</f>
        <v>1.09488886432123</v>
      </c>
      <c r="O3" s="22">
        <f>C16</f>
        <v>0.499086972197469</v>
      </c>
      <c r="P3" s="22">
        <f>C17</f>
        <v>0.13734565198507301</v>
      </c>
      <c r="Q3" s="22">
        <f>C18</f>
        <v>8.6727346929179203E-2</v>
      </c>
      <c r="R3" s="22">
        <f>C19</f>
        <v>0.13193729779494401</v>
      </c>
      <c r="S3" s="23">
        <f>C20</f>
        <v>3.3387290187160398E-2</v>
      </c>
      <c r="U3" s="39" t="s">
        <v>17</v>
      </c>
      <c r="V3" s="38">
        <f>9.25*3600</f>
        <v>33300</v>
      </c>
      <c r="X3" s="80" t="s">
        <v>26</v>
      </c>
      <c r="Y3" s="79">
        <v>986101</v>
      </c>
    </row>
    <row r="6" spans="2:25">
      <c r="B6" s="40" t="s">
        <v>16</v>
      </c>
      <c r="C6" s="40" t="s">
        <v>14</v>
      </c>
      <c r="E6" s="40" t="s">
        <v>16</v>
      </c>
      <c r="F6" s="41" t="s">
        <v>0</v>
      </c>
      <c r="G6" s="42" t="s">
        <v>1</v>
      </c>
      <c r="H6" s="42" t="s">
        <v>2</v>
      </c>
      <c r="I6" s="42" t="s">
        <v>3</v>
      </c>
      <c r="J6" s="42" t="s">
        <v>4</v>
      </c>
      <c r="K6" s="42" t="s">
        <v>5</v>
      </c>
      <c r="L6" s="43" t="s">
        <v>6</v>
      </c>
      <c r="M6" s="41" t="s">
        <v>7</v>
      </c>
      <c r="N6" s="42" t="s">
        <v>8</v>
      </c>
      <c r="O6" s="42" t="s">
        <v>9</v>
      </c>
      <c r="P6" s="42" t="s">
        <v>10</v>
      </c>
      <c r="Q6" s="42" t="s">
        <v>11</v>
      </c>
      <c r="R6" s="42" t="s">
        <v>12</v>
      </c>
      <c r="S6" s="43" t="s">
        <v>13</v>
      </c>
      <c r="U6" s="40" t="s">
        <v>16</v>
      </c>
      <c r="V6" s="40" t="s">
        <v>18</v>
      </c>
      <c r="X6" s="40" t="s">
        <v>16</v>
      </c>
      <c r="Y6" s="40" t="s">
        <v>19</v>
      </c>
    </row>
    <row r="7" spans="2:25">
      <c r="B7" s="44" t="s">
        <v>0</v>
      </c>
      <c r="C7" s="26">
        <v>1.51878045467599</v>
      </c>
      <c r="E7" s="44" t="s">
        <v>0</v>
      </c>
      <c r="F7" s="29">
        <v>0.34290918891870298</v>
      </c>
      <c r="G7" s="31">
        <v>0.16423602524624401</v>
      </c>
      <c r="H7" s="31">
        <v>6.2712640609646E-2</v>
      </c>
      <c r="I7" s="31">
        <v>0.36572264970714102</v>
      </c>
      <c r="J7" s="31">
        <v>0.36535014982306602</v>
      </c>
      <c r="K7" s="31">
        <v>0.16338882025226001</v>
      </c>
      <c r="L7" s="33">
        <v>4.7904302167658397E-2</v>
      </c>
      <c r="M7" s="29">
        <v>1.60094230504375E-2</v>
      </c>
      <c r="N7" s="31">
        <v>1.12830138940898E-2</v>
      </c>
      <c r="O7" s="31">
        <v>1.68229278805666E-2</v>
      </c>
      <c r="P7" s="31">
        <v>3.21399249714295E-2</v>
      </c>
      <c r="Q7" s="31">
        <v>8.3855704990413296E-2</v>
      </c>
      <c r="R7" s="31">
        <v>7.6871845331219005E-2</v>
      </c>
      <c r="S7" s="33">
        <v>7.2209697514414195E-2</v>
      </c>
      <c r="U7" s="44" t="s">
        <v>0</v>
      </c>
      <c r="V7" s="8">
        <v>3.4674093982571264</v>
      </c>
      <c r="X7" s="44" t="s">
        <v>0</v>
      </c>
      <c r="Y7" s="47">
        <v>116564</v>
      </c>
    </row>
    <row r="8" spans="2:25">
      <c r="B8" s="45" t="s">
        <v>1</v>
      </c>
      <c r="C8" s="27">
        <v>1.0609337161347201</v>
      </c>
      <c r="E8" s="45" t="s">
        <v>1</v>
      </c>
      <c r="F8" s="32">
        <v>9.19475032400391E-2</v>
      </c>
      <c r="G8" s="30">
        <v>0.327374230271535</v>
      </c>
      <c r="H8" s="30">
        <v>4.15683675079149E-2</v>
      </c>
      <c r="I8" s="30">
        <v>7.6154028047043396E-2</v>
      </c>
      <c r="J8" s="30">
        <v>1.9634368755259E-2</v>
      </c>
      <c r="K8" s="30">
        <v>2.41526805660577E-2</v>
      </c>
      <c r="L8" s="34">
        <v>5.8171359160926403E-2</v>
      </c>
      <c r="M8" s="32">
        <v>3.1708912530308601E-2</v>
      </c>
      <c r="N8" s="30">
        <v>2.5552260374807199E-2</v>
      </c>
      <c r="O8" s="30">
        <v>1.89301622362744E-2</v>
      </c>
      <c r="P8" s="30">
        <v>-4.5989399694985403E-2</v>
      </c>
      <c r="Q8" s="30">
        <v>-4.31746921803252E-2</v>
      </c>
      <c r="R8" s="30">
        <v>4.6158074499946598E-2</v>
      </c>
      <c r="S8" s="34">
        <v>5.6753234879983003E-2</v>
      </c>
      <c r="U8" s="45" t="s">
        <v>1</v>
      </c>
      <c r="V8" s="9">
        <v>2.4200624977627681</v>
      </c>
      <c r="X8" s="45" t="s">
        <v>1</v>
      </c>
      <c r="Y8" s="48">
        <v>81484</v>
      </c>
    </row>
    <row r="9" spans="2:25">
      <c r="B9" s="45" t="s">
        <v>2</v>
      </c>
      <c r="C9" s="27">
        <v>0.51150771852670396</v>
      </c>
      <c r="E9" s="45" t="s">
        <v>2</v>
      </c>
      <c r="F9" s="32">
        <v>6.5067782908926498E-3</v>
      </c>
      <c r="G9" s="30">
        <v>2.01343346202001E-2</v>
      </c>
      <c r="H9" s="30">
        <v>0.201700056144517</v>
      </c>
      <c r="I9" s="30">
        <v>-3.8318697444796302E-3</v>
      </c>
      <c r="J9" s="30">
        <v>-2.35319917380142E-2</v>
      </c>
      <c r="K9" s="30">
        <v>-4.9210180220441999E-3</v>
      </c>
      <c r="L9" s="34">
        <v>-1.5982733683854399E-2</v>
      </c>
      <c r="M9" s="32">
        <v>2.9324698691545899E-3</v>
      </c>
      <c r="N9" s="30">
        <v>3.6562217758992202E-3</v>
      </c>
      <c r="O9" s="30">
        <v>-1.8903609568762299E-3</v>
      </c>
      <c r="P9" s="30">
        <v>3.0005585868270599E-2</v>
      </c>
      <c r="Q9" s="30">
        <v>9.9526994719980805E-2</v>
      </c>
      <c r="R9" s="30">
        <v>1.91760887137298E-3</v>
      </c>
      <c r="S9" s="34">
        <v>-3.6364808625553502E-3</v>
      </c>
      <c r="U9" s="45" t="s">
        <v>2</v>
      </c>
      <c r="V9" s="9">
        <v>0.76815261344706576</v>
      </c>
      <c r="X9" s="45" t="s">
        <v>2</v>
      </c>
      <c r="Y9" s="48">
        <v>25795</v>
      </c>
    </row>
    <row r="10" spans="2:25">
      <c r="B10" s="45" t="s">
        <v>3</v>
      </c>
      <c r="C10" s="27">
        <v>0.13294626140538701</v>
      </c>
      <c r="E10" s="45" t="s">
        <v>3</v>
      </c>
      <c r="F10" s="32">
        <v>6.6583095926289297E-3</v>
      </c>
      <c r="G10" s="30">
        <v>5.9456003485464804E-3</v>
      </c>
      <c r="H10" s="30">
        <v>5.4136263962473001E-3</v>
      </c>
      <c r="I10" s="30">
        <v>-4.5749812573497403E-2</v>
      </c>
      <c r="J10" s="30">
        <v>9.2771056865262498E-4</v>
      </c>
      <c r="K10" s="30">
        <v>0.293532844545701</v>
      </c>
      <c r="L10" s="34">
        <v>0.21227460063978301</v>
      </c>
      <c r="M10" s="32">
        <v>1.852603113978E-3</v>
      </c>
      <c r="N10" s="30">
        <v>3.8995790992995098E-3</v>
      </c>
      <c r="O10" s="30">
        <v>-2.0026374279151901E-3</v>
      </c>
      <c r="P10" s="30">
        <v>-2.5623802121329E-2</v>
      </c>
      <c r="Q10" s="30">
        <v>5.3316678159957697E-5</v>
      </c>
      <c r="R10" s="30">
        <v>8.7873805544218003E-2</v>
      </c>
      <c r="S10" s="34">
        <v>0.12544486596770599</v>
      </c>
      <c r="U10" s="45" t="s">
        <v>3</v>
      </c>
      <c r="V10" s="9">
        <v>0.2787857719375465</v>
      </c>
      <c r="X10" s="45" t="s">
        <v>3</v>
      </c>
      <c r="Y10" s="48">
        <v>9816</v>
      </c>
    </row>
    <row r="11" spans="2:25">
      <c r="B11" s="45" t="s">
        <v>4</v>
      </c>
      <c r="C11" s="27">
        <v>8.5249938709489201E-2</v>
      </c>
      <c r="E11" s="45" t="s">
        <v>4</v>
      </c>
      <c r="F11" s="32">
        <v>7.3428168762472196E-4</v>
      </c>
      <c r="G11" s="30">
        <v>2.68145138660133E-3</v>
      </c>
      <c r="H11" s="30">
        <v>1.1696661238548499E-2</v>
      </c>
      <c r="I11" s="30">
        <v>-1.1890443654909301E-3</v>
      </c>
      <c r="J11" s="30">
        <v>-6.9168551419427201E-3</v>
      </c>
      <c r="K11" s="30">
        <v>-2.8292145454133599E-4</v>
      </c>
      <c r="L11" s="34">
        <v>-2.4190675601199899E-3</v>
      </c>
      <c r="M11" s="32">
        <v>4.3541973799632598E-4</v>
      </c>
      <c r="N11" s="30">
        <v>1.04071376466153E-3</v>
      </c>
      <c r="O11" s="30">
        <v>1.8776987287010599E-3</v>
      </c>
      <c r="P11" s="30">
        <v>1.6652889393492101E-2</v>
      </c>
      <c r="Q11" s="30">
        <v>1.5887867271555299E-2</v>
      </c>
      <c r="R11" s="30">
        <v>-7.4132993144363304E-4</v>
      </c>
      <c r="S11" s="34">
        <v>-2.2129469415506698E-3</v>
      </c>
      <c r="U11" s="45" t="s">
        <v>4</v>
      </c>
      <c r="V11" s="9">
        <v>0.11345254756239316</v>
      </c>
      <c r="X11" s="45" t="s">
        <v>4</v>
      </c>
      <c r="Y11" s="48">
        <v>3888</v>
      </c>
    </row>
    <row r="12" spans="2:25">
      <c r="B12" s="45" t="s">
        <v>5</v>
      </c>
      <c r="C12" s="27">
        <v>0.13421815606965401</v>
      </c>
      <c r="E12" s="45" t="s">
        <v>5</v>
      </c>
      <c r="F12" s="32">
        <v>1.83208303264696E-3</v>
      </c>
      <c r="G12" s="30">
        <v>3.9578120638380397E-3</v>
      </c>
      <c r="H12" s="30">
        <v>3.5579166521506202E-2</v>
      </c>
      <c r="I12" s="30">
        <v>-5.7424980006844204E-4</v>
      </c>
      <c r="J12" s="30">
        <v>-8.3296327018268397E-3</v>
      </c>
      <c r="K12" s="30">
        <v>-3.4199993617240101E-3</v>
      </c>
      <c r="L12" s="34">
        <v>-4.8346899889139304E-3</v>
      </c>
      <c r="M12" s="32">
        <v>2.10180643715618E-4</v>
      </c>
      <c r="N12" s="30">
        <v>2.1845906385754899E-3</v>
      </c>
      <c r="O12" s="30">
        <v>-1.2105996960914201E-3</v>
      </c>
      <c r="P12" s="30">
        <v>2.14787498183973E-2</v>
      </c>
      <c r="Q12" s="30">
        <v>2.7682651146701501E-2</v>
      </c>
      <c r="R12" s="30">
        <v>-4.2001976817851498E-4</v>
      </c>
      <c r="S12" s="34">
        <v>-1.8869013839578599E-3</v>
      </c>
      <c r="U12" s="45" t="s">
        <v>5</v>
      </c>
      <c r="V12" s="9">
        <v>0.18916674716810084</v>
      </c>
      <c r="X12" s="45" t="s">
        <v>5</v>
      </c>
      <c r="Y12" s="48">
        <v>6380</v>
      </c>
    </row>
    <row r="13" spans="2:25">
      <c r="B13" s="46" t="s">
        <v>6</v>
      </c>
      <c r="C13" s="28">
        <v>9.6449970484074193E-2</v>
      </c>
      <c r="E13" s="46" t="s">
        <v>6</v>
      </c>
      <c r="F13" s="37">
        <v>1.23030981709017E-3</v>
      </c>
      <c r="G13" s="36">
        <v>5.6400570088690899E-3</v>
      </c>
      <c r="H13" s="36">
        <v>7.3297327873314104E-3</v>
      </c>
      <c r="I13" s="36">
        <v>-3.94311492713379E-3</v>
      </c>
      <c r="J13" s="36">
        <v>-8.5899107052974395E-3</v>
      </c>
      <c r="K13" s="36">
        <v>-2.0471567832920099E-3</v>
      </c>
      <c r="L13" s="35">
        <v>-8.9884050067511501E-4</v>
      </c>
      <c r="M13" s="37">
        <v>-5.6080442461608798E-4</v>
      </c>
      <c r="N13" s="36">
        <v>2.0770921385372802E-3</v>
      </c>
      <c r="O13" s="36">
        <v>-1.1082373319028099E-3</v>
      </c>
      <c r="P13" s="36">
        <v>4.9233368984631397E-2</v>
      </c>
      <c r="Q13" s="36">
        <v>2.99657780679938E-2</v>
      </c>
      <c r="R13" s="36">
        <v>-3.9206860755547097E-3</v>
      </c>
      <c r="S13" s="35">
        <v>9.2188464516626802E-5</v>
      </c>
      <c r="U13" s="46" t="s">
        <v>6</v>
      </c>
      <c r="V13" s="10">
        <v>0.13624382303333743</v>
      </c>
      <c r="X13" s="46" t="s">
        <v>6</v>
      </c>
      <c r="Y13" s="49">
        <v>4826</v>
      </c>
    </row>
    <row r="14" spans="2:25">
      <c r="B14" s="44" t="s">
        <v>7</v>
      </c>
      <c r="C14" s="8">
        <v>1.4828671095071</v>
      </c>
      <c r="E14" s="44" t="s">
        <v>7</v>
      </c>
      <c r="F14" s="11">
        <v>1.5383192486147401E-2</v>
      </c>
      <c r="G14" s="12">
        <v>1.16132993025244E-2</v>
      </c>
      <c r="H14" s="12">
        <v>1.4300978263131901E-2</v>
      </c>
      <c r="I14" s="12">
        <v>2.28952673552262E-2</v>
      </c>
      <c r="J14" s="12">
        <v>7.8130432818749304E-2</v>
      </c>
      <c r="K14" s="12">
        <v>6.9627994041383701E-2</v>
      </c>
      <c r="L14" s="13">
        <v>5.5071100481073602E-2</v>
      </c>
      <c r="M14" s="11">
        <v>0.34049348468739599</v>
      </c>
      <c r="N14" s="12">
        <v>0.16339375858194899</v>
      </c>
      <c r="O14" s="12">
        <v>6.5933675398837793E-2</v>
      </c>
      <c r="P14" s="12">
        <v>0.35325719458858001</v>
      </c>
      <c r="Q14" s="12">
        <v>0.33388265710106302</v>
      </c>
      <c r="R14" s="12">
        <v>0.155435776974679</v>
      </c>
      <c r="S14" s="13">
        <v>6.4105953398246998E-2</v>
      </c>
      <c r="U14" s="44" t="s">
        <v>7</v>
      </c>
      <c r="V14" s="8">
        <v>3.3903131095458963</v>
      </c>
      <c r="X14" s="44" t="s">
        <v>7</v>
      </c>
      <c r="Y14" s="47">
        <v>113623</v>
      </c>
    </row>
    <row r="15" spans="2:25">
      <c r="B15" s="45" t="s">
        <v>8</v>
      </c>
      <c r="C15" s="9">
        <v>1.09488886432123</v>
      </c>
      <c r="E15" s="45" t="s">
        <v>8</v>
      </c>
      <c r="F15" s="14">
        <v>2.9380462991380699E-2</v>
      </c>
      <c r="G15" s="15">
        <v>2.80987470351753E-2</v>
      </c>
      <c r="H15" s="15">
        <v>2.0915047773490798E-2</v>
      </c>
      <c r="I15" s="15">
        <v>-4.1338347684309697E-2</v>
      </c>
      <c r="J15" s="15">
        <v>-4.0249533350319701E-2</v>
      </c>
      <c r="K15" s="15">
        <v>2.9085156190909098E-2</v>
      </c>
      <c r="L15" s="16">
        <v>6.5260339814804003E-2</v>
      </c>
      <c r="M15" s="14">
        <v>9.0577266248633007E-2</v>
      </c>
      <c r="N15" s="15">
        <v>0.32953092945978102</v>
      </c>
      <c r="O15" s="15">
        <v>4.0762039145847598E-2</v>
      </c>
      <c r="P15" s="15">
        <v>8.1384300057729703E-2</v>
      </c>
      <c r="Q15" s="15">
        <v>3.1344286342676601E-2</v>
      </c>
      <c r="R15" s="15">
        <v>3.7009666841773203E-2</v>
      </c>
      <c r="S15" s="16">
        <v>3.9782442538881198E-2</v>
      </c>
      <c r="U15" s="45" t="s">
        <v>8</v>
      </c>
      <c r="V15" s="9">
        <v>2.4671082456420037</v>
      </c>
      <c r="X15" s="45" t="s">
        <v>8</v>
      </c>
      <c r="Y15" s="48">
        <v>83022</v>
      </c>
    </row>
    <row r="16" spans="2:25">
      <c r="B16" s="45" t="s">
        <v>9</v>
      </c>
      <c r="C16" s="9">
        <v>0.499086972197469</v>
      </c>
      <c r="E16" s="45" t="s">
        <v>9</v>
      </c>
      <c r="F16" s="14">
        <v>3.3039268542810999E-3</v>
      </c>
      <c r="G16" s="15">
        <v>3.9563700985586203E-3</v>
      </c>
      <c r="H16" s="15">
        <v>-1.40582381833015E-3</v>
      </c>
      <c r="I16" s="15">
        <v>2.9204133087462E-2</v>
      </c>
      <c r="J16" s="15">
        <v>9.3273394498177106E-2</v>
      </c>
      <c r="K16" s="15">
        <v>-1.86739517204689E-3</v>
      </c>
      <c r="L16" s="16">
        <v>-2.8236843902308601E-3</v>
      </c>
      <c r="M16" s="14">
        <v>8.3022969830123892E-3</v>
      </c>
      <c r="N16" s="15">
        <v>1.92274521616131E-2</v>
      </c>
      <c r="O16" s="15">
        <v>0.223611626935795</v>
      </c>
      <c r="P16" s="15">
        <v>-5.0965317621417903E-3</v>
      </c>
      <c r="Q16" s="15">
        <v>-2.7428830052050199E-2</v>
      </c>
      <c r="R16" s="15">
        <v>1.9447800669093701E-3</v>
      </c>
      <c r="S16" s="16">
        <v>-2.1623454921797299E-2</v>
      </c>
      <c r="U16" s="45" t="s">
        <v>9</v>
      </c>
      <c r="V16" s="9">
        <v>0.78165044341637668</v>
      </c>
      <c r="X16" s="45" t="s">
        <v>9</v>
      </c>
      <c r="Y16" s="48">
        <v>26323</v>
      </c>
    </row>
    <row r="17" spans="2:25">
      <c r="B17" s="45" t="s">
        <v>10</v>
      </c>
      <c r="C17" s="9">
        <v>0.13734565198507301</v>
      </c>
      <c r="E17" s="45" t="s">
        <v>10</v>
      </c>
      <c r="F17" s="14">
        <v>1.9889598950882802E-3</v>
      </c>
      <c r="G17" s="15">
        <v>4.2062850823392202E-3</v>
      </c>
      <c r="H17" s="15">
        <v>-1.11642431611279E-3</v>
      </c>
      <c r="I17" s="15">
        <v>-2.51516115049196E-2</v>
      </c>
      <c r="J17" s="15">
        <v>-4.4794247516823198E-3</v>
      </c>
      <c r="K17" s="15">
        <v>9.8827456236635303E-2</v>
      </c>
      <c r="L17" s="16">
        <v>0.12446387549358801</v>
      </c>
      <c r="M17" s="14">
        <v>5.5296339103878397E-3</v>
      </c>
      <c r="N17" s="15">
        <v>7.2267742091874799E-3</v>
      </c>
      <c r="O17" s="15">
        <v>6.0280852769722297E-3</v>
      </c>
      <c r="P17" s="15">
        <v>-4.4922728470797403E-2</v>
      </c>
      <c r="Q17" s="15">
        <v>-4.6717363066616597E-3</v>
      </c>
      <c r="R17" s="15">
        <v>0.28647216251212898</v>
      </c>
      <c r="S17" s="16">
        <v>0.24249741720243601</v>
      </c>
      <c r="U17" s="45" t="s">
        <v>10</v>
      </c>
      <c r="V17" s="9">
        <v>0.28013145529277372</v>
      </c>
      <c r="X17" s="45" t="s">
        <v>10</v>
      </c>
      <c r="Y17" s="48">
        <v>10003</v>
      </c>
    </row>
    <row r="18" spans="2:25">
      <c r="B18" s="45" t="s">
        <v>11</v>
      </c>
      <c r="C18" s="9">
        <v>8.6727346929179203E-2</v>
      </c>
      <c r="E18" s="45" t="s">
        <v>11</v>
      </c>
      <c r="F18" s="14">
        <v>2.6970043490546401E-4</v>
      </c>
      <c r="G18" s="15">
        <v>8.5631029315254899E-4</v>
      </c>
      <c r="H18" s="15">
        <v>-4.6916488072681201E-4</v>
      </c>
      <c r="I18" s="15">
        <v>2.1677143632677899E-2</v>
      </c>
      <c r="J18" s="15">
        <v>1.4640814953949701E-2</v>
      </c>
      <c r="K18" s="15">
        <v>-1.4988455404217301E-4</v>
      </c>
      <c r="L18" s="16">
        <v>-2.8686260956249602E-3</v>
      </c>
      <c r="M18" s="14">
        <v>8.9549263289976299E-4</v>
      </c>
      <c r="N18" s="15">
        <v>1.56846288612631E-3</v>
      </c>
      <c r="O18" s="15">
        <v>1.2401404514744E-2</v>
      </c>
      <c r="P18" s="15">
        <v>-5.5829974518071504E-4</v>
      </c>
      <c r="Q18" s="15">
        <v>5.5641820939758002E-3</v>
      </c>
      <c r="R18" s="15">
        <v>-4.6081047525570803E-4</v>
      </c>
      <c r="S18" s="16">
        <v>-3.4115568056548601E-3</v>
      </c>
      <c r="U18" s="45" t="s">
        <v>11</v>
      </c>
      <c r="V18" s="9">
        <v>0.11340191063242222</v>
      </c>
      <c r="X18" s="45" t="s">
        <v>11</v>
      </c>
      <c r="Y18" s="48">
        <v>3875</v>
      </c>
    </row>
    <row r="19" spans="2:25">
      <c r="B19" s="45" t="s">
        <v>12</v>
      </c>
      <c r="C19" s="9">
        <v>0.13193729779494401</v>
      </c>
      <c r="E19" s="45" t="s">
        <v>12</v>
      </c>
      <c r="F19" s="14">
        <v>-2.4502598103599702E-4</v>
      </c>
      <c r="G19" s="15">
        <v>2.4127587815631099E-3</v>
      </c>
      <c r="H19" s="15">
        <v>-3.9310549530776798E-4</v>
      </c>
      <c r="I19" s="15">
        <v>1.9063161470022901E-2</v>
      </c>
      <c r="J19" s="15">
        <v>1.44899973748453E-2</v>
      </c>
      <c r="K19" s="15">
        <v>-2.0375895958738501E-3</v>
      </c>
      <c r="L19" s="16">
        <v>-3.3970123983393802E-3</v>
      </c>
      <c r="M19" s="14">
        <v>1.8148492513055E-3</v>
      </c>
      <c r="N19" s="15">
        <v>4.2567435888862803E-3</v>
      </c>
      <c r="O19" s="15">
        <v>3.35070689951125E-2</v>
      </c>
      <c r="P19" s="15">
        <v>-2.0081131500283601E-3</v>
      </c>
      <c r="Q19" s="15">
        <v>-2.93825814683394E-3</v>
      </c>
      <c r="R19" s="15">
        <v>-1.3650191412132599E-3</v>
      </c>
      <c r="S19" s="16">
        <v>-4.81753257590899E-3</v>
      </c>
      <c r="U19" s="45" t="s">
        <v>12</v>
      </c>
      <c r="V19" s="9">
        <v>0.18408533358505785</v>
      </c>
      <c r="X19" s="45" t="s">
        <v>12</v>
      </c>
      <c r="Y19" s="48">
        <v>6208</v>
      </c>
    </row>
    <row r="20" spans="2:25">
      <c r="B20" s="46" t="s">
        <v>13</v>
      </c>
      <c r="C20" s="10">
        <v>3.3387290187160398E-2</v>
      </c>
      <c r="E20" s="46" t="s">
        <v>13</v>
      </c>
      <c r="F20" s="17">
        <v>-5.4837373356472297E-4</v>
      </c>
      <c r="G20" s="18">
        <v>2.31709402209819E-3</v>
      </c>
      <c r="H20" s="18">
        <v>-9.6337620584894797E-4</v>
      </c>
      <c r="I20" s="18">
        <v>4.7859725651628701E-2</v>
      </c>
      <c r="J20" s="18">
        <v>1.2602050769776101E-2</v>
      </c>
      <c r="K20" s="18">
        <v>-4.48341518156283E-3</v>
      </c>
      <c r="L20" s="19">
        <v>6.6768650694746202E-3</v>
      </c>
      <c r="M20" s="17">
        <v>4.26355182761704E-4</v>
      </c>
      <c r="N20" s="18">
        <v>6.1308749749070298E-3</v>
      </c>
      <c r="O20" s="18">
        <v>7.4836449183538498E-3</v>
      </c>
      <c r="P20" s="18">
        <v>-5.2673101410404704E-4</v>
      </c>
      <c r="Q20" s="18">
        <v>-4.49498671140907E-3</v>
      </c>
      <c r="R20" s="18">
        <v>-1.50001419227603E-3</v>
      </c>
      <c r="S20" s="19">
        <v>-5.5762335056275397E-3</v>
      </c>
      <c r="U20" s="46" t="s">
        <v>13</v>
      </c>
      <c r="V20" s="10">
        <v>7.227143733537654E-2</v>
      </c>
      <c r="X20" s="46" t="s">
        <v>13</v>
      </c>
      <c r="Y20" s="49">
        <v>2619</v>
      </c>
    </row>
    <row r="22" spans="2:25">
      <c r="B22" s="24" t="s">
        <v>15</v>
      </c>
      <c r="C22" s="25">
        <v>43900</v>
      </c>
      <c r="E22" s="76" t="s">
        <v>39</v>
      </c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8"/>
      <c r="V22" s="54">
        <f>Y22/V3</f>
        <v>14.847627627627627</v>
      </c>
      <c r="X22" s="53" t="s">
        <v>20</v>
      </c>
      <c r="Y22" s="51">
        <f>SUM(Y7:Y20)</f>
        <v>494426</v>
      </c>
    </row>
    <row r="24" spans="2:25">
      <c r="C24" s="7" t="s">
        <v>14</v>
      </c>
      <c r="F24" s="4" t="s">
        <v>0</v>
      </c>
      <c r="G24" s="5" t="s">
        <v>1</v>
      </c>
      <c r="H24" s="5" t="s">
        <v>2</v>
      </c>
      <c r="I24" s="5" t="s">
        <v>3</v>
      </c>
      <c r="J24" s="5" t="s">
        <v>4</v>
      </c>
      <c r="K24" s="5" t="s">
        <v>5</v>
      </c>
      <c r="L24" s="6" t="s">
        <v>6</v>
      </c>
      <c r="M24" s="4" t="s">
        <v>7</v>
      </c>
      <c r="N24" s="5" t="s">
        <v>8</v>
      </c>
      <c r="O24" s="5" t="s">
        <v>9</v>
      </c>
      <c r="P24" s="5" t="s">
        <v>10</v>
      </c>
      <c r="Q24" s="5" t="s">
        <v>11</v>
      </c>
      <c r="R24" s="5" t="s">
        <v>12</v>
      </c>
      <c r="S24" s="6" t="s">
        <v>13</v>
      </c>
    </row>
    <row r="25" spans="2:25">
      <c r="B25" s="1" t="s">
        <v>0</v>
      </c>
      <c r="C25" s="8">
        <v>0.53518929796793402</v>
      </c>
      <c r="E25" s="1" t="s">
        <v>0</v>
      </c>
      <c r="F25" s="11">
        <v>0.39333808477912902</v>
      </c>
      <c r="G25" s="12">
        <v>5.7335014463377403E-2</v>
      </c>
      <c r="H25" s="12">
        <v>3.1938202468483202E-2</v>
      </c>
      <c r="I25" s="12">
        <v>8.5775416835740706E-2</v>
      </c>
      <c r="J25" s="12">
        <v>7.9671694629496002E-3</v>
      </c>
      <c r="K25" s="12">
        <v>5.4221537536206198E-2</v>
      </c>
      <c r="L25" s="13">
        <v>5.52612743728879E-2</v>
      </c>
      <c r="M25" s="11">
        <v>6.9413874835648299E-3</v>
      </c>
      <c r="N25" s="12">
        <v>3.2451297547875103E-2</v>
      </c>
      <c r="O25" s="12">
        <v>3.72762350126525E-4</v>
      </c>
      <c r="P25" s="12">
        <v>5.2964971157036501E-2</v>
      </c>
      <c r="Q25" s="12">
        <v>3.1530141109194297E-2</v>
      </c>
      <c r="R25" s="12">
        <v>6.5642164419937102E-2</v>
      </c>
      <c r="S25" s="13">
        <v>9.68346946735128E-2</v>
      </c>
    </row>
    <row r="26" spans="2:25">
      <c r="B26" s="2" t="s">
        <v>1</v>
      </c>
      <c r="C26" s="9">
        <v>0.70256426484755097</v>
      </c>
      <c r="E26" s="2" t="s">
        <v>1</v>
      </c>
      <c r="F26" s="14">
        <v>4.1243283557498199E-2</v>
      </c>
      <c r="G26" s="15">
        <v>0.37634718143700402</v>
      </c>
      <c r="H26" s="15">
        <v>1.7018291471972799E-2</v>
      </c>
      <c r="I26" s="15">
        <v>7.0032566206097893E-2</v>
      </c>
      <c r="J26" s="15">
        <v>3.49320987376166E-3</v>
      </c>
      <c r="K26" s="15">
        <v>4.3366917344522402E-2</v>
      </c>
      <c r="L26" s="16">
        <v>7.9963648219744193E-2</v>
      </c>
      <c r="M26" s="14">
        <v>5.7575899393591701E-2</v>
      </c>
      <c r="N26" s="15">
        <v>1.9197961744020799E-2</v>
      </c>
      <c r="O26" s="15">
        <v>3.0351318753288802E-2</v>
      </c>
      <c r="P26" s="15">
        <v>-3.0116819052774101E-2</v>
      </c>
      <c r="Q26" s="15">
        <v>-2.0028311064219798E-3</v>
      </c>
      <c r="R26" s="15">
        <v>6.2972875703747599E-2</v>
      </c>
      <c r="S26" s="16">
        <v>9.5804098530645795E-2</v>
      </c>
    </row>
    <row r="27" spans="2:25">
      <c r="B27" s="2" t="s">
        <v>2</v>
      </c>
      <c r="C27" s="9">
        <v>0.104772667257835</v>
      </c>
      <c r="E27" s="2" t="s">
        <v>2</v>
      </c>
      <c r="F27" s="14">
        <v>2.4471903605458199E-3</v>
      </c>
      <c r="G27" s="15">
        <v>6.7191827498578195E-4</v>
      </c>
      <c r="H27" s="15">
        <v>7.4962453416156594E-2</v>
      </c>
      <c r="I27" s="15">
        <v>1.4978097676933901E-3</v>
      </c>
      <c r="J27" s="15">
        <v>6.1566615586447397E-3</v>
      </c>
      <c r="K27" s="15">
        <v>-3.5595365562638199E-5</v>
      </c>
      <c r="L27" s="16">
        <v>-1.4982784980235599E-3</v>
      </c>
      <c r="M27" s="14">
        <v>8.8187037875153305E-5</v>
      </c>
      <c r="N27" s="15">
        <v>2.32829780879491E-3</v>
      </c>
      <c r="O27" s="15">
        <v>-8.6233302318118295E-4</v>
      </c>
      <c r="P27" s="15">
        <v>2.5651735819466801E-3</v>
      </c>
      <c r="Q27" s="15">
        <v>5.5294980578047999E-3</v>
      </c>
      <c r="R27" s="15">
        <v>1.21448437078637E-3</v>
      </c>
      <c r="S27" s="16">
        <v>8.7835188807947496E-4</v>
      </c>
    </row>
    <row r="28" spans="2:25">
      <c r="B28" s="2" t="s">
        <v>3</v>
      </c>
      <c r="C28" s="9">
        <v>7.4960988215726596E-2</v>
      </c>
      <c r="E28" s="2" t="s">
        <v>3</v>
      </c>
      <c r="F28" s="14">
        <v>6.2226383180827597E-3</v>
      </c>
      <c r="G28" s="15">
        <v>4.9504951607491103E-3</v>
      </c>
      <c r="H28" s="15">
        <v>1.7078345826599701E-3</v>
      </c>
      <c r="I28" s="15">
        <v>-3.6075901851358801E-3</v>
      </c>
      <c r="J28" s="15">
        <v>3.3006925548922702E-3</v>
      </c>
      <c r="K28" s="15">
        <v>9.4326811920502102E-2</v>
      </c>
      <c r="L28" s="16">
        <v>1.5478230926690401E-2</v>
      </c>
      <c r="M28" s="14">
        <v>4.1146918057986702E-3</v>
      </c>
      <c r="N28" s="15">
        <v>4.7622244242812896E-3</v>
      </c>
      <c r="O28" s="15">
        <v>-2.5855480836690199E-4</v>
      </c>
      <c r="P28" s="15">
        <v>-7.6351775926445297E-4</v>
      </c>
      <c r="Q28" s="15">
        <v>4.0278178828526698E-4</v>
      </c>
      <c r="R28" s="15">
        <v>1.6262713816809701E-2</v>
      </c>
      <c r="S28" s="16">
        <v>4.5347171390928601E-2</v>
      </c>
    </row>
    <row r="29" spans="2:25">
      <c r="B29" s="2" t="s">
        <v>4</v>
      </c>
      <c r="C29" s="9">
        <v>2.2412680624724599E-2</v>
      </c>
      <c r="E29" s="2" t="s">
        <v>4</v>
      </c>
      <c r="F29" s="14">
        <v>-9.5147050198429806E-5</v>
      </c>
      <c r="G29" s="15">
        <v>1.9759123468192699E-4</v>
      </c>
      <c r="H29" s="15">
        <v>3.1122852090647202E-3</v>
      </c>
      <c r="I29" s="15">
        <v>1.25135736058503E-3</v>
      </c>
      <c r="J29" s="15">
        <v>-5.9324822708124803E-3</v>
      </c>
      <c r="K29" s="15">
        <v>3.1178409624240599E-3</v>
      </c>
      <c r="L29" s="16">
        <v>-7.5523759042768804E-4</v>
      </c>
      <c r="M29" s="14">
        <v>1.7123687731292799E-4</v>
      </c>
      <c r="N29" s="15">
        <v>2.5468109670667E-4</v>
      </c>
      <c r="O29" s="15">
        <v>-5.9918335869714998E-4</v>
      </c>
      <c r="P29" s="15">
        <v>4.3857797995441102E-4</v>
      </c>
      <c r="Q29" s="15">
        <v>1.7250074928351301E-3</v>
      </c>
      <c r="R29" s="15">
        <v>5.5038115476256004E-4</v>
      </c>
      <c r="S29" s="16">
        <v>3.6784800534303498E-4</v>
      </c>
    </row>
    <row r="30" spans="2:25">
      <c r="B30" s="2" t="s">
        <v>5</v>
      </c>
      <c r="C30" s="9">
        <v>5.1322646071090203E-2</v>
      </c>
      <c r="E30" s="2" t="s">
        <v>5</v>
      </c>
      <c r="F30" s="14">
        <v>2.2835460302872601E-3</v>
      </c>
      <c r="G30" s="15">
        <v>5.2265817796300702E-4</v>
      </c>
      <c r="H30" s="15">
        <v>2.1378141978207602E-2</v>
      </c>
      <c r="I30" s="15">
        <v>-1.96109371734838E-3</v>
      </c>
      <c r="J30" s="15">
        <v>-1.00963044765619E-3</v>
      </c>
      <c r="K30" s="15">
        <v>-6.52284809838662E-4</v>
      </c>
      <c r="L30" s="16">
        <v>-2.7341248495544798E-3</v>
      </c>
      <c r="M30" s="14">
        <v>1.7778444072567601E-4</v>
      </c>
      <c r="N30" s="15">
        <v>2.5443357434615098E-3</v>
      </c>
      <c r="O30" s="15">
        <v>-1.0751169224511E-4</v>
      </c>
      <c r="P30" s="15">
        <v>1.0152654207394401E-2</v>
      </c>
      <c r="Q30" s="15">
        <v>8.3493711327698797E-3</v>
      </c>
      <c r="R30" s="15">
        <v>-1.0472415122905899E-3</v>
      </c>
      <c r="S30" s="16">
        <v>-6.6693234913382804E-4</v>
      </c>
    </row>
    <row r="31" spans="2:25">
      <c r="B31" s="3" t="s">
        <v>6</v>
      </c>
      <c r="C31" s="10">
        <v>3.3017824876450899E-2</v>
      </c>
      <c r="E31" s="3" t="s">
        <v>6</v>
      </c>
      <c r="F31" s="17">
        <v>3.6684213933323101E-3</v>
      </c>
      <c r="G31" s="18">
        <v>1.7434283524032899E-3</v>
      </c>
      <c r="H31" s="18">
        <v>2.5334860631527501E-3</v>
      </c>
      <c r="I31" s="18">
        <v>-2.31259904188605E-4</v>
      </c>
      <c r="J31" s="18">
        <v>-1.8399282758147901E-3</v>
      </c>
      <c r="K31" s="18">
        <v>-7.3799606772789197E-4</v>
      </c>
      <c r="L31" s="19">
        <v>-3.7638981638834202E-3</v>
      </c>
      <c r="M31" s="17">
        <v>-6.5616434783010802E-4</v>
      </c>
      <c r="N31" s="18">
        <v>3.08463214715052E-3</v>
      </c>
      <c r="O31" s="18">
        <v>-1.12493483439554E-3</v>
      </c>
      <c r="P31" s="18">
        <v>5.60558175961067E-2</v>
      </c>
      <c r="Q31" s="18">
        <v>8.9657628964895496E-3</v>
      </c>
      <c r="R31" s="18">
        <v>4.3054136961228901E-4</v>
      </c>
      <c r="S31" s="19">
        <v>6.3636681013586104E-4</v>
      </c>
    </row>
    <row r="32" spans="2:25">
      <c r="B32" s="1" t="s">
        <v>7</v>
      </c>
      <c r="C32" s="8">
        <v>0.59216568065030994</v>
      </c>
      <c r="E32" s="1" t="s">
        <v>7</v>
      </c>
      <c r="F32" s="11">
        <v>1.35688431217747E-2</v>
      </c>
      <c r="G32" s="12">
        <v>3.4575642010581199E-2</v>
      </c>
      <c r="H32" s="12">
        <v>1.1625969525522199E-3</v>
      </c>
      <c r="I32" s="12">
        <v>7.9251438227665297E-2</v>
      </c>
      <c r="J32" s="12">
        <v>2.5117668914954601E-2</v>
      </c>
      <c r="K32" s="12">
        <v>8.1599348631065202E-2</v>
      </c>
      <c r="L32" s="13">
        <v>0.127761143591787</v>
      </c>
      <c r="M32" s="11">
        <v>0.413192260430645</v>
      </c>
      <c r="N32" s="12">
        <v>5.2822098015012697E-2</v>
      </c>
      <c r="O32" s="12">
        <v>3.8072845669722299E-2</v>
      </c>
      <c r="P32" s="12">
        <v>7.0582725192768203E-2</v>
      </c>
      <c r="Q32" s="12">
        <v>1.9378310882524698E-2</v>
      </c>
      <c r="R32" s="12">
        <v>6.0522712339790001E-2</v>
      </c>
      <c r="S32" s="13">
        <v>7.3938152952921096E-2</v>
      </c>
    </row>
    <row r="33" spans="2:26">
      <c r="B33" s="2" t="s">
        <v>8</v>
      </c>
      <c r="C33" s="9">
        <v>0.62874022819505004</v>
      </c>
      <c r="E33" s="2" t="s">
        <v>8</v>
      </c>
      <c r="F33" s="14">
        <v>5.5635054663094097E-2</v>
      </c>
      <c r="G33" s="15">
        <v>1.45272127107367E-2</v>
      </c>
      <c r="H33" s="15">
        <v>2.6291449661879799E-2</v>
      </c>
      <c r="I33" s="15">
        <v>-3.5524753203823603E-2</v>
      </c>
      <c r="J33" s="15">
        <v>-3.96929986071124E-3</v>
      </c>
      <c r="K33" s="15">
        <v>5.2769505136874499E-2</v>
      </c>
      <c r="L33" s="16">
        <v>6.1220459023021701E-2</v>
      </c>
      <c r="M33" s="14">
        <v>4.7776080707363902E-2</v>
      </c>
      <c r="N33" s="15">
        <v>0.36697475223225601</v>
      </c>
      <c r="O33" s="15">
        <v>8.5339458163966996E-3</v>
      </c>
      <c r="P33" s="15">
        <v>7.1103108360798903E-2</v>
      </c>
      <c r="Q33" s="15">
        <v>1.6702642200636299E-2</v>
      </c>
      <c r="R33" s="15">
        <v>4.1031060816339997E-2</v>
      </c>
      <c r="S33" s="16">
        <v>7.9504899077649002E-2</v>
      </c>
    </row>
    <row r="34" spans="2:26">
      <c r="B34" s="2" t="s">
        <v>9</v>
      </c>
      <c r="C34" s="9">
        <v>9.2683657765842406E-2</v>
      </c>
      <c r="E34" s="2" t="s">
        <v>9</v>
      </c>
      <c r="F34" s="14">
        <v>4.2824322408129901E-4</v>
      </c>
      <c r="G34" s="15">
        <v>2.3081217243233199E-3</v>
      </c>
      <c r="H34" s="15">
        <v>6.8291351766502104E-4</v>
      </c>
      <c r="I34" s="15">
        <v>1.3504545393826701E-3</v>
      </c>
      <c r="J34" s="15">
        <v>2.7953213566203798E-3</v>
      </c>
      <c r="K34" s="15">
        <v>1.12952027321433E-3</v>
      </c>
      <c r="L34" s="16">
        <v>-1.49288730011319E-3</v>
      </c>
      <c r="M34" s="14">
        <v>2.1717834754169801E-3</v>
      </c>
      <c r="N34" s="15">
        <v>7.1597887373547897E-4</v>
      </c>
      <c r="O34" s="15">
        <v>6.8505805444524101E-2</v>
      </c>
      <c r="P34" s="15">
        <v>-6.1617667759344302E-4</v>
      </c>
      <c r="Q34" s="15">
        <v>1.06249174366454E-2</v>
      </c>
      <c r="R34" s="15">
        <v>4.3415718582100003E-3</v>
      </c>
      <c r="S34" s="16">
        <v>-2.69330622343106E-3</v>
      </c>
    </row>
    <row r="35" spans="2:26">
      <c r="B35" s="2" t="s">
        <v>10</v>
      </c>
      <c r="C35" s="9">
        <v>7.4347006034703095E-2</v>
      </c>
      <c r="E35" s="2" t="s">
        <v>10</v>
      </c>
      <c r="F35" s="14">
        <v>5.2763906954544498E-3</v>
      </c>
      <c r="G35" s="15">
        <v>3.6308283292819602E-3</v>
      </c>
      <c r="H35" s="15">
        <v>-3.9376790106783601E-4</v>
      </c>
      <c r="I35" s="15">
        <v>-2.18389786410342E-4</v>
      </c>
      <c r="J35" s="15">
        <v>1.7870627967296201E-3</v>
      </c>
      <c r="K35" s="15">
        <v>1.0145107295558699E-2</v>
      </c>
      <c r="L35" s="16">
        <v>3.4601601979008599E-2</v>
      </c>
      <c r="M35" s="14">
        <v>5.6739593864322804E-3</v>
      </c>
      <c r="N35" s="15">
        <v>4.8573308692465003E-3</v>
      </c>
      <c r="O35" s="15">
        <v>7.9599376850471998E-3</v>
      </c>
      <c r="P35" s="15">
        <v>-6.85569246833508E-3</v>
      </c>
      <c r="Q35" s="15">
        <v>-1.85377325126083E-3</v>
      </c>
      <c r="R35" s="15">
        <v>0.11994143703609</v>
      </c>
      <c r="S35" s="16">
        <v>1.6599085609855201E-2</v>
      </c>
    </row>
    <row r="36" spans="2:26">
      <c r="B36" s="2" t="s">
        <v>11</v>
      </c>
      <c r="C36" s="9">
        <v>2.2015558423844599E-2</v>
      </c>
      <c r="E36" s="2" t="s">
        <v>11</v>
      </c>
      <c r="F36" s="14">
        <v>1.1311847741901101E-4</v>
      </c>
      <c r="G36" s="15">
        <v>3.5260817651005399E-4</v>
      </c>
      <c r="H36" s="15">
        <v>2.0670601367960901E-4</v>
      </c>
      <c r="I36" s="15">
        <v>4.1787836017759799E-3</v>
      </c>
      <c r="J36" s="15">
        <v>4.3663951882746601E-3</v>
      </c>
      <c r="K36" s="15">
        <v>1.92850154646537E-4</v>
      </c>
      <c r="L36" s="16">
        <v>-1.30660910837738E-3</v>
      </c>
      <c r="M36" s="14">
        <v>3.5673120954519602E-4</v>
      </c>
      <c r="N36" s="15">
        <v>2.74063476377948E-4</v>
      </c>
      <c r="O36" s="15">
        <v>2.0479158502291901E-4</v>
      </c>
      <c r="P36" s="15">
        <v>1.2924735981037301E-3</v>
      </c>
      <c r="Q36" s="15">
        <v>-5.1469385806720397E-4</v>
      </c>
      <c r="R36" s="15">
        <v>-2.0207781220306801E-4</v>
      </c>
      <c r="S36" s="16">
        <v>1.3155710503089499E-3</v>
      </c>
    </row>
    <row r="37" spans="2:26">
      <c r="B37" s="2" t="s">
        <v>12</v>
      </c>
      <c r="C37" s="9">
        <v>5.1229536490832499E-2</v>
      </c>
      <c r="E37" s="2" t="s">
        <v>12</v>
      </c>
      <c r="F37" s="14">
        <v>-8.3029086270789402E-5</v>
      </c>
      <c r="G37" s="15">
        <v>2.4329996221480899E-3</v>
      </c>
      <c r="H37" s="15">
        <v>1.5086518017022701E-3</v>
      </c>
      <c r="I37" s="15">
        <v>8.1474314522958103E-3</v>
      </c>
      <c r="J37" s="15">
        <v>1.0770596860246499E-2</v>
      </c>
      <c r="K37" s="15">
        <v>-1.5767392840354601E-4</v>
      </c>
      <c r="L37" s="16">
        <v>5.7046956937316503E-4</v>
      </c>
      <c r="M37" s="14">
        <v>2.1136916570541702E-3</v>
      </c>
      <c r="N37" s="15">
        <v>2.64925242268868E-4</v>
      </c>
      <c r="O37" s="15">
        <v>3.5690077588397998E-2</v>
      </c>
      <c r="P37" s="15">
        <v>7.2654834095284998E-4</v>
      </c>
      <c r="Q37" s="15">
        <v>-2.5234115831993401E-3</v>
      </c>
      <c r="R37" s="15">
        <v>8.71458269321181E-4</v>
      </c>
      <c r="S37" s="16">
        <v>-3.4328866561506699E-4</v>
      </c>
    </row>
    <row r="38" spans="2:26">
      <c r="B38" s="3" t="s">
        <v>13</v>
      </c>
      <c r="C38" s="10">
        <v>3.3387290187160398E-2</v>
      </c>
      <c r="E38" s="3" t="s">
        <v>13</v>
      </c>
      <c r="F38" s="17">
        <v>-4.8920141254981699E-4</v>
      </c>
      <c r="G38" s="18">
        <v>2.3817776077362401E-3</v>
      </c>
      <c r="H38" s="18">
        <v>5.0702294071367404E-4</v>
      </c>
      <c r="I38" s="18">
        <v>5.8433089635560098E-2</v>
      </c>
      <c r="J38" s="18">
        <v>3.0191106587354201E-3</v>
      </c>
      <c r="K38" s="18">
        <v>-7.96807645734532E-4</v>
      </c>
      <c r="L38" s="19">
        <v>-1.5040310900077301E-3</v>
      </c>
      <c r="M38" s="17">
        <v>2.84353610725065E-3</v>
      </c>
      <c r="N38" s="18">
        <v>2.0112317258197399E-3</v>
      </c>
      <c r="O38" s="18">
        <v>3.6901139167655902E-3</v>
      </c>
      <c r="P38" s="18">
        <v>-5.3094750092724005E-4</v>
      </c>
      <c r="Q38" s="18">
        <v>-2.1551030119677699E-3</v>
      </c>
      <c r="R38" s="18">
        <v>-2.2540350058386301E-3</v>
      </c>
      <c r="S38" s="19">
        <v>-3.7351946564871102E-3</v>
      </c>
    </row>
    <row r="41" spans="2:26">
      <c r="E41" s="76" t="s">
        <v>33</v>
      </c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8"/>
    </row>
    <row r="43" spans="2:26">
      <c r="E43" s="40" t="s">
        <v>21</v>
      </c>
      <c r="F43" s="41" t="s">
        <v>0</v>
      </c>
      <c r="G43" s="42" t="s">
        <v>1</v>
      </c>
      <c r="H43" s="42" t="s">
        <v>2</v>
      </c>
      <c r="I43" s="42" t="s">
        <v>3</v>
      </c>
      <c r="J43" s="42" t="s">
        <v>4</v>
      </c>
      <c r="K43" s="42" t="s">
        <v>5</v>
      </c>
      <c r="L43" s="43" t="s">
        <v>6</v>
      </c>
      <c r="M43" s="41" t="s">
        <v>7</v>
      </c>
      <c r="N43" s="42" t="s">
        <v>8</v>
      </c>
      <c r="O43" s="42" t="s">
        <v>9</v>
      </c>
      <c r="P43" s="42" t="s">
        <v>10</v>
      </c>
      <c r="Q43" s="42" t="s">
        <v>11</v>
      </c>
      <c r="R43" s="42" t="s">
        <v>12</v>
      </c>
      <c r="S43" s="43" t="s">
        <v>13</v>
      </c>
    </row>
    <row r="44" spans="2:26">
      <c r="E44" s="44" t="s">
        <v>0</v>
      </c>
      <c r="F44" s="55">
        <v>49475</v>
      </c>
      <c r="G44" s="56">
        <v>21604</v>
      </c>
      <c r="H44" s="56">
        <v>5179</v>
      </c>
      <c r="I44" s="56">
        <v>3853</v>
      </c>
      <c r="J44" s="56">
        <v>1484</v>
      </c>
      <c r="K44" s="56">
        <v>1461</v>
      </c>
      <c r="L44" s="57">
        <v>835</v>
      </c>
      <c r="M44" s="55">
        <v>14797</v>
      </c>
      <c r="N44" s="56">
        <v>10151</v>
      </c>
      <c r="O44" s="56">
        <v>4032</v>
      </c>
      <c r="P44" s="56">
        <v>1477</v>
      </c>
      <c r="Q44" s="56">
        <v>719</v>
      </c>
      <c r="R44" s="56">
        <v>989</v>
      </c>
      <c r="S44" s="57">
        <v>508</v>
      </c>
      <c r="Y44" s="52" t="s">
        <v>37</v>
      </c>
      <c r="Z44" s="50">
        <f>Y22</f>
        <v>494426</v>
      </c>
    </row>
    <row r="45" spans="2:26">
      <c r="E45" s="45" t="s">
        <v>1</v>
      </c>
      <c r="F45" s="58">
        <v>21250</v>
      </c>
      <c r="G45" s="59">
        <v>27935</v>
      </c>
      <c r="H45" s="59">
        <v>3680</v>
      </c>
      <c r="I45" s="59">
        <v>1330</v>
      </c>
      <c r="J45" s="59">
        <v>415</v>
      </c>
      <c r="K45" s="59">
        <v>666</v>
      </c>
      <c r="L45" s="60">
        <v>655</v>
      </c>
      <c r="M45" s="58">
        <v>12365</v>
      </c>
      <c r="N45" s="59">
        <v>8345</v>
      </c>
      <c r="O45" s="59">
        <v>2781</v>
      </c>
      <c r="P45" s="59">
        <v>790</v>
      </c>
      <c r="Q45" s="59">
        <v>306</v>
      </c>
      <c r="R45" s="59">
        <v>638</v>
      </c>
      <c r="S45" s="60">
        <v>328</v>
      </c>
      <c r="Y45" s="52" t="s">
        <v>24</v>
      </c>
      <c r="Z45" s="50">
        <f>SUM(Y9,Y11:Y12,Y16,Y18:Y19)</f>
        <v>72469</v>
      </c>
    </row>
    <row r="46" spans="2:26">
      <c r="E46" s="45" t="s">
        <v>2</v>
      </c>
      <c r="F46" s="58">
        <v>4977</v>
      </c>
      <c r="G46" s="59">
        <v>4147</v>
      </c>
      <c r="H46" s="59">
        <v>5781</v>
      </c>
      <c r="I46" s="59">
        <v>350</v>
      </c>
      <c r="J46" s="59">
        <v>152</v>
      </c>
      <c r="K46" s="59">
        <v>305</v>
      </c>
      <c r="L46" s="60">
        <v>215</v>
      </c>
      <c r="M46" s="58">
        <v>4444</v>
      </c>
      <c r="N46" s="59">
        <v>3072</v>
      </c>
      <c r="O46" s="59">
        <v>1116</v>
      </c>
      <c r="P46" s="59">
        <v>546</v>
      </c>
      <c r="Q46" s="59">
        <v>385</v>
      </c>
      <c r="R46" s="59">
        <v>229</v>
      </c>
      <c r="S46" s="60">
        <v>76</v>
      </c>
      <c r="Y46" s="52" t="s">
        <v>30</v>
      </c>
      <c r="Z46" s="50">
        <v>35411</v>
      </c>
    </row>
    <row r="47" spans="2:26">
      <c r="E47" s="45" t="s">
        <v>3</v>
      </c>
      <c r="F47" s="58">
        <v>2007</v>
      </c>
      <c r="G47" s="59">
        <v>1124</v>
      </c>
      <c r="H47" s="59">
        <v>440</v>
      </c>
      <c r="I47" s="59">
        <v>339</v>
      </c>
      <c r="J47" s="59">
        <v>44</v>
      </c>
      <c r="K47" s="59">
        <v>1322</v>
      </c>
      <c r="L47" s="60">
        <v>743</v>
      </c>
      <c r="M47" s="58">
        <v>1419</v>
      </c>
      <c r="N47" s="59">
        <v>1065</v>
      </c>
      <c r="O47" s="59">
        <v>323</v>
      </c>
      <c r="P47" s="59">
        <v>239</v>
      </c>
      <c r="Q47" s="59">
        <v>49</v>
      </c>
      <c r="R47" s="59">
        <v>449</v>
      </c>
      <c r="S47" s="60">
        <v>253</v>
      </c>
      <c r="Y47" s="52" t="s">
        <v>28</v>
      </c>
      <c r="Z47" s="50">
        <v>58661</v>
      </c>
    </row>
    <row r="48" spans="2:26">
      <c r="E48" s="45" t="s">
        <v>4</v>
      </c>
      <c r="F48" s="58">
        <v>773</v>
      </c>
      <c r="G48" s="59">
        <v>633</v>
      </c>
      <c r="H48" s="59">
        <v>503</v>
      </c>
      <c r="I48" s="59">
        <v>61</v>
      </c>
      <c r="J48" s="59">
        <v>30</v>
      </c>
      <c r="K48" s="59">
        <v>41</v>
      </c>
      <c r="L48" s="60">
        <v>32</v>
      </c>
      <c r="M48" s="58">
        <v>750</v>
      </c>
      <c r="N48" s="59">
        <v>538</v>
      </c>
      <c r="O48" s="59">
        <v>224</v>
      </c>
      <c r="P48" s="59">
        <v>190</v>
      </c>
      <c r="Q48" s="59">
        <v>67</v>
      </c>
      <c r="R48" s="59">
        <v>29</v>
      </c>
      <c r="S48" s="60">
        <v>17</v>
      </c>
      <c r="Y48" s="52" t="s">
        <v>31</v>
      </c>
      <c r="Z48" s="81">
        <f>Z47/Z46</f>
        <v>1.6565756403377481</v>
      </c>
    </row>
    <row r="49" spans="5:26">
      <c r="E49" s="45" t="s">
        <v>5</v>
      </c>
      <c r="F49" s="58">
        <v>1363</v>
      </c>
      <c r="G49" s="59">
        <v>1009</v>
      </c>
      <c r="H49" s="59">
        <v>1075</v>
      </c>
      <c r="I49" s="59">
        <v>90</v>
      </c>
      <c r="J49" s="59">
        <v>41</v>
      </c>
      <c r="K49" s="59">
        <v>81</v>
      </c>
      <c r="L49" s="60">
        <v>55</v>
      </c>
      <c r="M49" s="58">
        <v>1127</v>
      </c>
      <c r="N49" s="59">
        <v>819</v>
      </c>
      <c r="O49" s="59">
        <v>287</v>
      </c>
      <c r="P49" s="59">
        <v>224</v>
      </c>
      <c r="Q49" s="59">
        <v>123</v>
      </c>
      <c r="R49" s="59">
        <v>61</v>
      </c>
      <c r="S49" s="60">
        <v>25</v>
      </c>
      <c r="Y49" s="52" t="s">
        <v>29</v>
      </c>
      <c r="Z49" s="82">
        <v>3.1204992798847815E-2</v>
      </c>
    </row>
    <row r="50" spans="5:26">
      <c r="E50" s="46" t="s">
        <v>6</v>
      </c>
      <c r="F50" s="61">
        <v>949</v>
      </c>
      <c r="G50" s="62">
        <v>899</v>
      </c>
      <c r="H50" s="62">
        <v>413</v>
      </c>
      <c r="I50" s="62">
        <v>72</v>
      </c>
      <c r="J50" s="62">
        <v>20</v>
      </c>
      <c r="K50" s="62">
        <v>46</v>
      </c>
      <c r="L50" s="63">
        <v>57</v>
      </c>
      <c r="M50" s="61">
        <v>869</v>
      </c>
      <c r="N50" s="62">
        <v>687</v>
      </c>
      <c r="O50" s="62">
        <v>237</v>
      </c>
      <c r="P50" s="62">
        <v>408</v>
      </c>
      <c r="Q50" s="62">
        <v>112</v>
      </c>
      <c r="R50" s="62">
        <v>40</v>
      </c>
      <c r="S50" s="63">
        <v>17</v>
      </c>
      <c r="Y50" s="52" t="s">
        <v>32</v>
      </c>
      <c r="Z50" s="50">
        <f>Z46*Z49</f>
        <v>1105</v>
      </c>
    </row>
    <row r="51" spans="5:26">
      <c r="E51" s="44" t="s">
        <v>7</v>
      </c>
      <c r="F51" s="64">
        <v>14781</v>
      </c>
      <c r="G51" s="65">
        <v>9694</v>
      </c>
      <c r="H51" s="65">
        <v>3864</v>
      </c>
      <c r="I51" s="65">
        <v>1351</v>
      </c>
      <c r="J51" s="65">
        <v>721</v>
      </c>
      <c r="K51" s="65">
        <v>976</v>
      </c>
      <c r="L51" s="66">
        <v>812</v>
      </c>
      <c r="M51" s="64">
        <v>47541</v>
      </c>
      <c r="N51" s="65">
        <v>21567</v>
      </c>
      <c r="O51" s="65">
        <v>5271</v>
      </c>
      <c r="P51" s="65">
        <v>3773</v>
      </c>
      <c r="Q51" s="65">
        <v>1430</v>
      </c>
      <c r="R51" s="65">
        <v>1390</v>
      </c>
      <c r="S51" s="66">
        <v>452</v>
      </c>
      <c r="Y51" s="52" t="s">
        <v>27</v>
      </c>
      <c r="Z51" s="74">
        <v>0.24420999537640284</v>
      </c>
    </row>
    <row r="52" spans="5:26">
      <c r="E52" s="45" t="s">
        <v>8</v>
      </c>
      <c r="F52" s="67">
        <v>12738</v>
      </c>
      <c r="G52" s="68">
        <v>8574</v>
      </c>
      <c r="H52" s="68">
        <v>2916</v>
      </c>
      <c r="I52" s="68">
        <v>879</v>
      </c>
      <c r="J52" s="68">
        <v>323</v>
      </c>
      <c r="K52" s="68">
        <v>638</v>
      </c>
      <c r="L52" s="69">
        <v>666</v>
      </c>
      <c r="M52" s="67">
        <v>20717</v>
      </c>
      <c r="N52" s="68">
        <v>28895</v>
      </c>
      <c r="O52" s="68">
        <v>3744</v>
      </c>
      <c r="P52" s="68">
        <v>1541</v>
      </c>
      <c r="Q52" s="68">
        <v>390</v>
      </c>
      <c r="R52" s="68">
        <v>658</v>
      </c>
      <c r="S52" s="69">
        <v>342</v>
      </c>
      <c r="Y52" s="52" t="s">
        <v>22</v>
      </c>
      <c r="Z52" s="74">
        <v>1.9886999418453086</v>
      </c>
    </row>
    <row r="53" spans="5:26">
      <c r="E53" s="45" t="s">
        <v>9</v>
      </c>
      <c r="F53" s="67">
        <v>4448</v>
      </c>
      <c r="G53" s="68">
        <v>2984</v>
      </c>
      <c r="H53" s="68">
        <v>1091</v>
      </c>
      <c r="I53" s="68">
        <v>490</v>
      </c>
      <c r="J53" s="68">
        <v>416</v>
      </c>
      <c r="K53" s="68">
        <v>228</v>
      </c>
      <c r="L53" s="69">
        <v>184</v>
      </c>
      <c r="M53" s="67">
        <v>5198</v>
      </c>
      <c r="N53" s="68">
        <v>4270</v>
      </c>
      <c r="O53" s="68">
        <v>6128</v>
      </c>
      <c r="P53" s="68">
        <v>341</v>
      </c>
      <c r="Q53" s="68">
        <v>155</v>
      </c>
      <c r="R53" s="68">
        <v>280</v>
      </c>
      <c r="S53" s="69">
        <v>110</v>
      </c>
      <c r="Y53" s="52" t="s">
        <v>23</v>
      </c>
      <c r="Z53" s="73">
        <v>6900</v>
      </c>
    </row>
    <row r="54" spans="5:26">
      <c r="E54" s="45" t="s">
        <v>10</v>
      </c>
      <c r="F54" s="67">
        <v>1542</v>
      </c>
      <c r="G54" s="68">
        <v>1083</v>
      </c>
      <c r="H54" s="68">
        <v>304</v>
      </c>
      <c r="I54" s="68">
        <v>260</v>
      </c>
      <c r="J54" s="68">
        <v>51</v>
      </c>
      <c r="K54" s="68">
        <v>499</v>
      </c>
      <c r="L54" s="69">
        <v>451</v>
      </c>
      <c r="M54" s="67">
        <v>1914</v>
      </c>
      <c r="N54" s="68">
        <v>1379</v>
      </c>
      <c r="O54" s="68">
        <v>428</v>
      </c>
      <c r="P54" s="68">
        <v>285</v>
      </c>
      <c r="Q54" s="68">
        <v>48</v>
      </c>
      <c r="R54" s="68">
        <v>1326</v>
      </c>
      <c r="S54" s="69">
        <v>433</v>
      </c>
      <c r="Y54" s="52" t="s">
        <v>25</v>
      </c>
      <c r="Z54" s="75">
        <f>Z53/(Y10+Y17)</f>
        <v>0.34815076441798276</v>
      </c>
    </row>
    <row r="55" spans="5:26">
      <c r="E55" s="45" t="s">
        <v>11</v>
      </c>
      <c r="F55" s="67">
        <v>780</v>
      </c>
      <c r="G55" s="68">
        <v>549</v>
      </c>
      <c r="H55" s="68">
        <v>178</v>
      </c>
      <c r="I55" s="68">
        <v>209</v>
      </c>
      <c r="J55" s="68">
        <v>66</v>
      </c>
      <c r="K55" s="68">
        <v>38</v>
      </c>
      <c r="L55" s="69">
        <v>31</v>
      </c>
      <c r="M55" s="67">
        <v>810</v>
      </c>
      <c r="N55" s="68">
        <v>576</v>
      </c>
      <c r="O55" s="68">
        <v>452</v>
      </c>
      <c r="P55" s="68">
        <v>75</v>
      </c>
      <c r="Q55" s="68">
        <v>50</v>
      </c>
      <c r="R55" s="68">
        <v>38</v>
      </c>
      <c r="S55" s="69">
        <v>23</v>
      </c>
    </row>
    <row r="56" spans="5:26">
      <c r="E56" s="45" t="s">
        <v>12</v>
      </c>
      <c r="F56" s="67">
        <v>1109</v>
      </c>
      <c r="G56" s="68">
        <v>874</v>
      </c>
      <c r="H56" s="68">
        <v>300</v>
      </c>
      <c r="I56" s="68">
        <v>208</v>
      </c>
      <c r="J56" s="68">
        <v>73</v>
      </c>
      <c r="K56" s="68">
        <v>59</v>
      </c>
      <c r="L56" s="69">
        <v>46</v>
      </c>
      <c r="M56" s="67">
        <v>1265</v>
      </c>
      <c r="N56" s="68">
        <v>1036</v>
      </c>
      <c r="O56" s="68">
        <v>1039</v>
      </c>
      <c r="P56" s="68">
        <v>83</v>
      </c>
      <c r="Q56" s="68">
        <v>28</v>
      </c>
      <c r="R56" s="68">
        <v>61</v>
      </c>
      <c r="S56" s="69">
        <v>27</v>
      </c>
    </row>
    <row r="57" spans="5:26">
      <c r="E57" s="46" t="s">
        <v>13</v>
      </c>
      <c r="F57" s="70">
        <v>372</v>
      </c>
      <c r="G57" s="71">
        <v>375</v>
      </c>
      <c r="H57" s="71">
        <v>71</v>
      </c>
      <c r="I57" s="71">
        <v>324</v>
      </c>
      <c r="J57" s="71">
        <v>52</v>
      </c>
      <c r="K57" s="71">
        <v>19</v>
      </c>
      <c r="L57" s="72">
        <v>44</v>
      </c>
      <c r="M57" s="70">
        <v>407</v>
      </c>
      <c r="N57" s="71">
        <v>622</v>
      </c>
      <c r="O57" s="71">
        <v>261</v>
      </c>
      <c r="P57" s="71">
        <v>31</v>
      </c>
      <c r="Q57" s="71">
        <v>13</v>
      </c>
      <c r="R57" s="71">
        <v>20</v>
      </c>
      <c r="S57" s="72">
        <v>8</v>
      </c>
    </row>
    <row r="59" spans="5:26">
      <c r="E59" s="76" t="s">
        <v>34</v>
      </c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8"/>
    </row>
    <row r="61" spans="5:26">
      <c r="E61" s="40" t="s">
        <v>21</v>
      </c>
      <c r="F61" s="203" t="s">
        <v>0</v>
      </c>
      <c r="G61" s="204" t="s">
        <v>1</v>
      </c>
      <c r="H61" s="204" t="s">
        <v>2</v>
      </c>
      <c r="I61" s="204" t="s">
        <v>3</v>
      </c>
      <c r="J61" s="204" t="s">
        <v>4</v>
      </c>
      <c r="K61" s="204" t="s">
        <v>5</v>
      </c>
      <c r="L61" s="205" t="s">
        <v>6</v>
      </c>
      <c r="M61" s="204" t="s">
        <v>7</v>
      </c>
      <c r="N61" s="204" t="s">
        <v>8</v>
      </c>
      <c r="O61" s="204" t="s">
        <v>9</v>
      </c>
      <c r="P61" s="204" t="s">
        <v>10</v>
      </c>
      <c r="Q61" s="204" t="s">
        <v>11</v>
      </c>
      <c r="R61" s="204" t="s">
        <v>12</v>
      </c>
      <c r="S61" s="205" t="s">
        <v>13</v>
      </c>
      <c r="U61" s="40" t="s">
        <v>16</v>
      </c>
      <c r="V61" s="40" t="s">
        <v>18</v>
      </c>
      <c r="X61" s="40" t="s">
        <v>16</v>
      </c>
      <c r="Y61" s="40" t="s">
        <v>19</v>
      </c>
    </row>
    <row r="62" spans="5:26">
      <c r="E62" s="206" t="s">
        <v>0</v>
      </c>
      <c r="F62" s="92">
        <v>53506</v>
      </c>
      <c r="G62" s="93">
        <v>21886</v>
      </c>
      <c r="H62" s="94">
        <v>4950</v>
      </c>
      <c r="I62" s="95">
        <v>2834</v>
      </c>
      <c r="J62" s="96">
        <v>544</v>
      </c>
      <c r="K62" s="97">
        <v>750</v>
      </c>
      <c r="L62" s="98">
        <v>320</v>
      </c>
      <c r="M62" s="99">
        <v>12281</v>
      </c>
      <c r="N62" s="100">
        <v>10079</v>
      </c>
      <c r="O62" s="101">
        <v>3780</v>
      </c>
      <c r="P62" s="102">
        <v>784</v>
      </c>
      <c r="Q62" s="103">
        <v>230</v>
      </c>
      <c r="R62" s="101">
        <v>432</v>
      </c>
      <c r="S62" s="98">
        <v>318</v>
      </c>
      <c r="U62" s="44" t="s">
        <v>0</v>
      </c>
      <c r="V62" s="8">
        <f>Y62/V$3</f>
        <v>3.3842042042042042</v>
      </c>
      <c r="X62" s="44" t="s">
        <v>0</v>
      </c>
      <c r="Y62" s="47">
        <f>SUM(F62:S62)</f>
        <v>112694</v>
      </c>
    </row>
    <row r="63" spans="5:26">
      <c r="E63" s="207" t="s">
        <v>1</v>
      </c>
      <c r="F63" s="104">
        <v>21244</v>
      </c>
      <c r="G63" s="105">
        <v>31499</v>
      </c>
      <c r="H63" s="106">
        <v>3666</v>
      </c>
      <c r="I63" s="107">
        <v>1066</v>
      </c>
      <c r="J63" s="108">
        <v>303</v>
      </c>
      <c r="K63" s="109">
        <v>879</v>
      </c>
      <c r="L63" s="110">
        <v>510</v>
      </c>
      <c r="M63" s="111">
        <v>12412</v>
      </c>
      <c r="N63" s="112">
        <v>6252</v>
      </c>
      <c r="O63" s="108">
        <v>1488</v>
      </c>
      <c r="P63" s="113"/>
      <c r="Q63" s="113"/>
      <c r="R63" s="114">
        <v>294</v>
      </c>
      <c r="S63" s="115">
        <v>226</v>
      </c>
      <c r="U63" s="45" t="s">
        <v>1</v>
      </c>
      <c r="V63" s="9">
        <f t="shared" ref="V63:V75" si="0">Y63/V$3</f>
        <v>2.3975675675675676</v>
      </c>
      <c r="X63" s="45" t="s">
        <v>1</v>
      </c>
      <c r="Y63" s="48">
        <f t="shared" ref="Y63:Y75" si="1">SUM(F63:S63)</f>
        <v>79839</v>
      </c>
    </row>
    <row r="64" spans="5:26">
      <c r="E64" s="207" t="s">
        <v>2</v>
      </c>
      <c r="F64" s="116">
        <v>5227</v>
      </c>
      <c r="G64" s="117">
        <v>3878</v>
      </c>
      <c r="H64" s="106">
        <v>6738</v>
      </c>
      <c r="I64" s="118">
        <v>55</v>
      </c>
      <c r="J64" s="119">
        <v>21</v>
      </c>
      <c r="K64" s="120">
        <v>158</v>
      </c>
      <c r="L64" s="121">
        <v>13</v>
      </c>
      <c r="M64" s="122">
        <v>4468</v>
      </c>
      <c r="N64" s="123">
        <v>2130</v>
      </c>
      <c r="O64" s="124">
        <v>743</v>
      </c>
      <c r="P64" s="125">
        <v>240</v>
      </c>
      <c r="Q64" s="126">
        <v>208</v>
      </c>
      <c r="R64" s="127">
        <v>14</v>
      </c>
      <c r="S64" s="128">
        <v>15</v>
      </c>
      <c r="U64" s="45" t="s">
        <v>2</v>
      </c>
      <c r="V64" s="9">
        <f t="shared" si="0"/>
        <v>0.71795795795795792</v>
      </c>
      <c r="X64" s="45" t="s">
        <v>2</v>
      </c>
      <c r="Y64" s="48">
        <f t="shared" si="1"/>
        <v>23908</v>
      </c>
    </row>
    <row r="65" spans="5:25">
      <c r="E65" s="207" t="s">
        <v>3</v>
      </c>
      <c r="F65" s="122">
        <v>1151</v>
      </c>
      <c r="G65" s="106">
        <v>982</v>
      </c>
      <c r="H65" s="129">
        <v>241</v>
      </c>
      <c r="I65" s="130">
        <v>1</v>
      </c>
      <c r="J65" s="113"/>
      <c r="K65" s="114">
        <v>1072</v>
      </c>
      <c r="L65" s="131">
        <v>414</v>
      </c>
      <c r="M65" s="132">
        <v>602</v>
      </c>
      <c r="N65" s="117">
        <v>796</v>
      </c>
      <c r="O65" s="133">
        <v>55</v>
      </c>
      <c r="P65" s="134">
        <v>5</v>
      </c>
      <c r="Q65" s="113"/>
      <c r="R65" s="135">
        <v>446</v>
      </c>
      <c r="S65" s="115">
        <v>367</v>
      </c>
      <c r="U65" s="45" t="s">
        <v>3</v>
      </c>
      <c r="V65" s="9">
        <f t="shared" si="0"/>
        <v>0.18414414414414415</v>
      </c>
      <c r="X65" s="45" t="s">
        <v>3</v>
      </c>
      <c r="Y65" s="48">
        <f t="shared" si="1"/>
        <v>6132</v>
      </c>
    </row>
    <row r="66" spans="5:25">
      <c r="E66" s="207" t="s">
        <v>4</v>
      </c>
      <c r="F66" s="136">
        <v>249</v>
      </c>
      <c r="G66" s="137">
        <v>285</v>
      </c>
      <c r="H66" s="138">
        <v>420</v>
      </c>
      <c r="I66" s="119">
        <v>1</v>
      </c>
      <c r="J66" s="113"/>
      <c r="K66" s="113"/>
      <c r="L66" s="139"/>
      <c r="M66" s="140">
        <v>170</v>
      </c>
      <c r="N66" s="141">
        <v>127</v>
      </c>
      <c r="O66" s="119">
        <v>14</v>
      </c>
      <c r="P66" s="118">
        <v>152</v>
      </c>
      <c r="Q66" s="130">
        <v>46</v>
      </c>
      <c r="R66" s="130"/>
      <c r="S66" s="139"/>
      <c r="U66" s="45" t="s">
        <v>4</v>
      </c>
      <c r="V66" s="9">
        <f t="shared" si="0"/>
        <v>4.3963963963963966E-2</v>
      </c>
      <c r="X66" s="45" t="s">
        <v>4</v>
      </c>
      <c r="Y66" s="48">
        <f t="shared" si="1"/>
        <v>1464</v>
      </c>
    </row>
    <row r="67" spans="5:25">
      <c r="E67" s="207" t="s">
        <v>5</v>
      </c>
      <c r="F67" s="132">
        <v>741</v>
      </c>
      <c r="G67" s="142">
        <v>956</v>
      </c>
      <c r="H67" s="114">
        <v>1072</v>
      </c>
      <c r="I67" s="143">
        <v>3</v>
      </c>
      <c r="J67" s="113"/>
      <c r="K67" s="130">
        <v>1</v>
      </c>
      <c r="L67" s="139"/>
      <c r="M67" s="144">
        <v>332</v>
      </c>
      <c r="N67" s="109">
        <v>421</v>
      </c>
      <c r="O67" s="145">
        <v>46</v>
      </c>
      <c r="P67" s="114">
        <v>427</v>
      </c>
      <c r="Q67" s="146">
        <v>119</v>
      </c>
      <c r="R67" s="113"/>
      <c r="S67" s="139"/>
      <c r="U67" s="45" t="s">
        <v>5</v>
      </c>
      <c r="V67" s="9">
        <f t="shared" si="0"/>
        <v>0.12366366366366366</v>
      </c>
      <c r="X67" s="45" t="s">
        <v>5</v>
      </c>
      <c r="Y67" s="48">
        <f t="shared" si="1"/>
        <v>4118</v>
      </c>
    </row>
    <row r="68" spans="5:25">
      <c r="E68" s="208" t="s">
        <v>6</v>
      </c>
      <c r="F68" s="147">
        <v>358</v>
      </c>
      <c r="G68" s="148">
        <v>595</v>
      </c>
      <c r="H68" s="149">
        <v>289</v>
      </c>
      <c r="I68" s="150"/>
      <c r="J68" s="151">
        <v>2</v>
      </c>
      <c r="K68" s="150">
        <v>1</v>
      </c>
      <c r="L68" s="152">
        <v>1</v>
      </c>
      <c r="M68" s="150"/>
      <c r="N68" s="153">
        <v>324</v>
      </c>
      <c r="O68" s="154">
        <v>6</v>
      </c>
      <c r="P68" s="155">
        <v>592</v>
      </c>
      <c r="Q68" s="156">
        <v>76</v>
      </c>
      <c r="R68" s="151"/>
      <c r="S68" s="152"/>
      <c r="U68" s="46" t="s">
        <v>6</v>
      </c>
      <c r="V68" s="10">
        <f t="shared" si="0"/>
        <v>6.7387387387387393E-2</v>
      </c>
      <c r="X68" s="46" t="s">
        <v>6</v>
      </c>
      <c r="Y68" s="49">
        <f t="shared" si="1"/>
        <v>2244</v>
      </c>
    </row>
    <row r="69" spans="5:25">
      <c r="E69" s="207" t="s">
        <v>7</v>
      </c>
      <c r="F69" s="157">
        <v>12115</v>
      </c>
      <c r="G69" s="158">
        <v>9732</v>
      </c>
      <c r="H69" s="97">
        <v>4008</v>
      </c>
      <c r="I69" s="102">
        <v>704</v>
      </c>
      <c r="J69" s="159">
        <v>219</v>
      </c>
      <c r="K69" s="101">
        <v>421</v>
      </c>
      <c r="L69" s="160">
        <v>298</v>
      </c>
      <c r="M69" s="161">
        <v>51684</v>
      </c>
      <c r="N69" s="93">
        <v>21948</v>
      </c>
      <c r="O69" s="162">
        <v>4803</v>
      </c>
      <c r="P69" s="163">
        <v>2855</v>
      </c>
      <c r="Q69" s="164">
        <v>547</v>
      </c>
      <c r="R69" s="165">
        <v>692</v>
      </c>
      <c r="S69" s="98">
        <v>311</v>
      </c>
      <c r="U69" s="44" t="s">
        <v>7</v>
      </c>
      <c r="V69" s="8">
        <f t="shared" si="0"/>
        <v>3.3134234234234232</v>
      </c>
      <c r="X69" s="44" t="s">
        <v>7</v>
      </c>
      <c r="Y69" s="47">
        <f t="shared" si="1"/>
        <v>110337</v>
      </c>
    </row>
    <row r="70" spans="5:25">
      <c r="E70" s="207" t="s">
        <v>8</v>
      </c>
      <c r="F70" s="166">
        <v>12850</v>
      </c>
      <c r="G70" s="167">
        <v>6366</v>
      </c>
      <c r="H70" s="108">
        <v>1614</v>
      </c>
      <c r="I70" s="113"/>
      <c r="J70" s="113"/>
      <c r="K70" s="114">
        <v>307</v>
      </c>
      <c r="L70" s="115">
        <v>269</v>
      </c>
      <c r="M70" s="168">
        <v>21093</v>
      </c>
      <c r="N70" s="169">
        <v>32638</v>
      </c>
      <c r="O70" s="109">
        <v>3404</v>
      </c>
      <c r="P70" s="170">
        <v>1203</v>
      </c>
      <c r="Q70" s="108">
        <v>278</v>
      </c>
      <c r="R70" s="108">
        <v>897</v>
      </c>
      <c r="S70" s="110">
        <v>470</v>
      </c>
      <c r="U70" s="45" t="s">
        <v>8</v>
      </c>
      <c r="V70" s="9">
        <f t="shared" si="0"/>
        <v>2.4441141141141141</v>
      </c>
      <c r="X70" s="45" t="s">
        <v>8</v>
      </c>
      <c r="Y70" s="48">
        <f t="shared" si="1"/>
        <v>81389</v>
      </c>
    </row>
    <row r="71" spans="5:25">
      <c r="E71" s="207" t="s">
        <v>9</v>
      </c>
      <c r="F71" s="132">
        <v>4081</v>
      </c>
      <c r="G71" s="123">
        <v>1960</v>
      </c>
      <c r="H71" s="171">
        <v>799</v>
      </c>
      <c r="I71" s="172">
        <v>272</v>
      </c>
      <c r="J71" s="173">
        <v>188</v>
      </c>
      <c r="K71" s="134">
        <v>21</v>
      </c>
      <c r="L71" s="174">
        <v>22</v>
      </c>
      <c r="M71" s="175">
        <v>5016</v>
      </c>
      <c r="N71" s="109">
        <v>3701</v>
      </c>
      <c r="O71" s="106">
        <v>7820</v>
      </c>
      <c r="P71" s="176">
        <v>94</v>
      </c>
      <c r="Q71" s="177">
        <v>19</v>
      </c>
      <c r="R71" s="178">
        <v>221</v>
      </c>
      <c r="S71" s="179">
        <v>16</v>
      </c>
      <c r="U71" s="45" t="s">
        <v>9</v>
      </c>
      <c r="V71" s="9">
        <f t="shared" si="0"/>
        <v>0.72762762762762767</v>
      </c>
      <c r="X71" s="45" t="s">
        <v>9</v>
      </c>
      <c r="Y71" s="48">
        <f t="shared" si="1"/>
        <v>24230</v>
      </c>
    </row>
    <row r="72" spans="5:25">
      <c r="E72" s="207" t="s">
        <v>10</v>
      </c>
      <c r="F72" s="132">
        <v>667</v>
      </c>
      <c r="G72" s="117">
        <v>868</v>
      </c>
      <c r="H72" s="180">
        <v>50</v>
      </c>
      <c r="I72" s="181">
        <v>4</v>
      </c>
      <c r="J72" s="113"/>
      <c r="K72" s="182">
        <v>506</v>
      </c>
      <c r="L72" s="183">
        <v>395</v>
      </c>
      <c r="M72" s="175">
        <v>1120</v>
      </c>
      <c r="N72" s="106">
        <v>1094</v>
      </c>
      <c r="O72" s="184">
        <v>244</v>
      </c>
      <c r="P72" s="113">
        <v>4</v>
      </c>
      <c r="Q72" s="113"/>
      <c r="R72" s="108">
        <v>961</v>
      </c>
      <c r="S72" s="185">
        <v>448</v>
      </c>
      <c r="U72" s="45" t="s">
        <v>10</v>
      </c>
      <c r="V72" s="9">
        <f t="shared" si="0"/>
        <v>0.19102102102102103</v>
      </c>
      <c r="X72" s="45" t="s">
        <v>10</v>
      </c>
      <c r="Y72" s="48">
        <f t="shared" si="1"/>
        <v>6361</v>
      </c>
    </row>
    <row r="73" spans="5:25">
      <c r="E73" s="207" t="s">
        <v>11</v>
      </c>
      <c r="F73" s="186">
        <v>174</v>
      </c>
      <c r="G73" s="187">
        <v>157</v>
      </c>
      <c r="H73" s="134">
        <v>11</v>
      </c>
      <c r="I73" s="118">
        <v>183</v>
      </c>
      <c r="J73" s="113">
        <v>49</v>
      </c>
      <c r="K73" s="130"/>
      <c r="L73" s="139"/>
      <c r="M73" s="188">
        <v>219</v>
      </c>
      <c r="N73" s="189">
        <v>295</v>
      </c>
      <c r="O73" s="190">
        <v>429</v>
      </c>
      <c r="P73" s="143">
        <v>1</v>
      </c>
      <c r="Q73" s="113"/>
      <c r="R73" s="191">
        <v>4</v>
      </c>
      <c r="S73" s="192">
        <v>1</v>
      </c>
      <c r="U73" s="45" t="s">
        <v>11</v>
      </c>
      <c r="V73" s="9">
        <f t="shared" si="0"/>
        <v>4.5735735735735736E-2</v>
      </c>
      <c r="X73" s="45" t="s">
        <v>11</v>
      </c>
      <c r="Y73" s="48">
        <f t="shared" si="1"/>
        <v>1523</v>
      </c>
    </row>
    <row r="74" spans="5:25">
      <c r="E74" s="207" t="s">
        <v>12</v>
      </c>
      <c r="F74" s="193">
        <v>332</v>
      </c>
      <c r="G74" s="109">
        <v>349</v>
      </c>
      <c r="H74" s="125">
        <v>40</v>
      </c>
      <c r="I74" s="114">
        <v>461</v>
      </c>
      <c r="J74" s="194">
        <v>66</v>
      </c>
      <c r="K74" s="191">
        <v>2</v>
      </c>
      <c r="L74" s="192">
        <v>1</v>
      </c>
      <c r="M74" s="132">
        <v>661</v>
      </c>
      <c r="N74" s="195">
        <v>943</v>
      </c>
      <c r="O74" s="114">
        <v>1107</v>
      </c>
      <c r="P74" s="196">
        <v>3</v>
      </c>
      <c r="Q74" s="113"/>
      <c r="R74" s="196">
        <v>3</v>
      </c>
      <c r="S74" s="139"/>
      <c r="U74" s="45" t="s">
        <v>12</v>
      </c>
      <c r="V74" s="9">
        <f t="shared" si="0"/>
        <v>0.11915915915915916</v>
      </c>
      <c r="X74" s="45" t="s">
        <v>12</v>
      </c>
      <c r="Y74" s="48">
        <f t="shared" si="1"/>
        <v>3968</v>
      </c>
    </row>
    <row r="75" spans="5:25">
      <c r="E75" s="208" t="s">
        <v>13</v>
      </c>
      <c r="F75" s="150"/>
      <c r="G75" s="153">
        <v>326</v>
      </c>
      <c r="H75" s="154">
        <v>10</v>
      </c>
      <c r="I75" s="197">
        <v>548</v>
      </c>
      <c r="J75" s="198">
        <v>72</v>
      </c>
      <c r="K75" s="151"/>
      <c r="L75" s="199">
        <v>1</v>
      </c>
      <c r="M75" s="147">
        <v>279</v>
      </c>
      <c r="N75" s="200">
        <v>641</v>
      </c>
      <c r="O75" s="201">
        <v>291</v>
      </c>
      <c r="P75" s="202">
        <v>1</v>
      </c>
      <c r="Q75" s="150"/>
      <c r="R75" s="150">
        <v>3</v>
      </c>
      <c r="S75" s="199"/>
      <c r="U75" s="46" t="s">
        <v>13</v>
      </c>
      <c r="V75" s="10">
        <f t="shared" si="0"/>
        <v>6.5225225225225225E-2</v>
      </c>
      <c r="X75" s="46" t="s">
        <v>13</v>
      </c>
      <c r="Y75" s="49">
        <f t="shared" si="1"/>
        <v>2172</v>
      </c>
    </row>
    <row r="77" spans="5:25">
      <c r="E77" s="76" t="s">
        <v>35</v>
      </c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8"/>
      <c r="V77" s="54">
        <f>Y77/V$3</f>
        <v>13.825195195195196</v>
      </c>
      <c r="X77" s="53" t="s">
        <v>20</v>
      </c>
      <c r="Y77" s="51">
        <f>SUM(Y62:Y75)</f>
        <v>460379</v>
      </c>
    </row>
    <row r="79" spans="5:25">
      <c r="E79" s="40" t="s">
        <v>21</v>
      </c>
      <c r="F79" s="41" t="s">
        <v>0</v>
      </c>
      <c r="G79" s="42" t="s">
        <v>1</v>
      </c>
      <c r="H79" s="42" t="s">
        <v>2</v>
      </c>
      <c r="I79" s="42" t="s">
        <v>3</v>
      </c>
      <c r="J79" s="42" t="s">
        <v>4</v>
      </c>
      <c r="K79" s="42" t="s">
        <v>5</v>
      </c>
      <c r="L79" s="43" t="s">
        <v>6</v>
      </c>
      <c r="M79" s="41" t="s">
        <v>7</v>
      </c>
      <c r="N79" s="42" t="s">
        <v>8</v>
      </c>
      <c r="O79" s="42" t="s">
        <v>9</v>
      </c>
      <c r="P79" s="42" t="s">
        <v>10</v>
      </c>
      <c r="Q79" s="42" t="s">
        <v>11</v>
      </c>
      <c r="R79" s="42" t="s">
        <v>12</v>
      </c>
      <c r="S79" s="43" t="s">
        <v>13</v>
      </c>
    </row>
    <row r="80" spans="5:25">
      <c r="E80" s="44" t="s">
        <v>0</v>
      </c>
      <c r="F80" s="29">
        <v>3.5349284997914614E-2</v>
      </c>
      <c r="G80" s="31">
        <v>5.229744762448741E-2</v>
      </c>
      <c r="H80" s="31">
        <v>8.9927382107299572E-2</v>
      </c>
      <c r="I80" s="31">
        <v>4.2001461104728785E-2</v>
      </c>
      <c r="J80" s="31">
        <v>4.1823326077458263E-2</v>
      </c>
      <c r="K80" s="31">
        <v>5.803556777231942E-2</v>
      </c>
      <c r="L80" s="33">
        <v>8.9952125344323466E-2</v>
      </c>
      <c r="M80" s="29">
        <v>0.11224926453765173</v>
      </c>
      <c r="N80" s="31">
        <v>0.10980183460223514</v>
      </c>
      <c r="O80" s="31">
        <v>0.11331726108752907</v>
      </c>
      <c r="P80" s="31">
        <v>9.5401457406149553E-2</v>
      </c>
      <c r="Q80" s="31">
        <v>8.7071777430842254E-2</v>
      </c>
      <c r="R80" s="31">
        <v>8.1534331831504964E-2</v>
      </c>
      <c r="S80" s="33">
        <v>7.8812521616325154E-2</v>
      </c>
    </row>
    <row r="81" spans="5:19">
      <c r="E81" s="45" t="s">
        <v>1</v>
      </c>
      <c r="F81" s="32">
        <v>5.7008304600223499E-2</v>
      </c>
      <c r="G81" s="30">
        <v>2.7145536686942615E-2</v>
      </c>
      <c r="H81" s="30">
        <v>9.2610177704238753E-2</v>
      </c>
      <c r="I81" s="30">
        <v>6.2591613097308735E-2</v>
      </c>
      <c r="J81" s="30">
        <v>9.5808529954572813E-2</v>
      </c>
      <c r="K81" s="30">
        <v>0.10757495377450212</v>
      </c>
      <c r="L81" s="34">
        <v>7.5117219118752049E-2</v>
      </c>
      <c r="M81" s="32">
        <v>9.2850258730534513E-2</v>
      </c>
      <c r="N81" s="30">
        <v>9.3440362514459779E-2</v>
      </c>
      <c r="O81" s="30">
        <v>0.11327098421677143</v>
      </c>
      <c r="P81" s="30">
        <v>0.11409687914727054</v>
      </c>
      <c r="Q81" s="30">
        <v>0.13049209584061289</v>
      </c>
      <c r="R81" s="30">
        <v>9.3826783461699745E-2</v>
      </c>
      <c r="S81" s="34">
        <v>8.182559408512767E-2</v>
      </c>
    </row>
    <row r="82" spans="5:19">
      <c r="E82" s="45" t="s">
        <v>2</v>
      </c>
      <c r="F82" s="32">
        <v>0.11421581007221074</v>
      </c>
      <c r="G82" s="30">
        <v>9.3154928555220257E-2</v>
      </c>
      <c r="H82" s="30">
        <v>2.9970810528062417E-2</v>
      </c>
      <c r="I82" s="30">
        <v>0.12367528619867171</v>
      </c>
      <c r="J82" s="30">
        <v>0.11516873766414043</v>
      </c>
      <c r="K82" s="30">
        <v>9.89706282214219E-2</v>
      </c>
      <c r="L82" s="34">
        <v>0.1261411625532704</v>
      </c>
      <c r="M82" s="32">
        <v>0.12077302367819219</v>
      </c>
      <c r="N82" s="30">
        <v>0.12324073959468783</v>
      </c>
      <c r="O82" s="30">
        <v>0.14881048424752444</v>
      </c>
      <c r="P82" s="30">
        <v>8.4003969294806718E-2</v>
      </c>
      <c r="Q82" s="30">
        <v>5.4828354303729218E-2</v>
      </c>
      <c r="R82" s="30">
        <v>0.1456697556542263</v>
      </c>
      <c r="S82" s="34">
        <v>0.12434491011604853</v>
      </c>
    </row>
    <row r="83" spans="5:19">
      <c r="E83" s="45" t="s">
        <v>3</v>
      </c>
      <c r="F83" s="32">
        <v>7.4691776024306003E-2</v>
      </c>
      <c r="G83" s="30">
        <v>7.4576973075573885E-2</v>
      </c>
      <c r="H83" s="30">
        <v>9.1996465458448667E-2</v>
      </c>
      <c r="I83" s="30">
        <v>3.9725937085983216E-2</v>
      </c>
      <c r="J83" s="30">
        <v>0.15460838515453837</v>
      </c>
      <c r="K83" s="30">
        <v>5.6406581997651209E-3</v>
      </c>
      <c r="L83" s="34">
        <v>7.8972890286507016E-3</v>
      </c>
      <c r="M83" s="32">
        <v>0.1023616221322831</v>
      </c>
      <c r="N83" s="30">
        <v>8.8543252217770971E-2</v>
      </c>
      <c r="O83" s="30">
        <v>0.12941146264604159</v>
      </c>
      <c r="P83" s="30">
        <v>4.9492499162440987E-2</v>
      </c>
      <c r="Q83" s="30">
        <v>0.12880876907072944</v>
      </c>
      <c r="R83" s="30">
        <v>1.4112285392559291E-2</v>
      </c>
      <c r="S83" s="34">
        <v>1.7541367117102167E-2</v>
      </c>
    </row>
    <row r="84" spans="5:19">
      <c r="E84" s="45" t="s">
        <v>4</v>
      </c>
      <c r="F84" s="32">
        <v>0.11817910080743312</v>
      </c>
      <c r="G84" s="30">
        <v>9.4534198729694152E-2</v>
      </c>
      <c r="H84" s="30">
        <v>6.4417907795778162E-2</v>
      </c>
      <c r="I84" s="30">
        <v>0.15241245428954711</v>
      </c>
      <c r="J84" s="30">
        <v>0.10677792981545811</v>
      </c>
      <c r="K84" s="30">
        <v>0.13306948976076999</v>
      </c>
      <c r="L84" s="34">
        <v>0.13215425167919648</v>
      </c>
      <c r="M84" s="32">
        <v>0.12660986693877752</v>
      </c>
      <c r="N84" s="30">
        <v>0.10899513767586763</v>
      </c>
      <c r="O84" s="30">
        <v>0.12511143199876104</v>
      </c>
      <c r="P84" s="30">
        <v>5.2424761544394169E-2</v>
      </c>
      <c r="Q84" s="30">
        <v>5.1018912968006862E-2</v>
      </c>
      <c r="R84" s="30">
        <v>0.14844947323526944</v>
      </c>
      <c r="S84" s="34">
        <v>0.14764422704173547</v>
      </c>
    </row>
    <row r="85" spans="5:19">
      <c r="E85" s="45" t="s">
        <v>5</v>
      </c>
      <c r="F85" s="32">
        <v>0.11623514774407165</v>
      </c>
      <c r="G85" s="30">
        <v>9.1411540838215233E-2</v>
      </c>
      <c r="H85" s="30">
        <v>3.866890069072642E-2</v>
      </c>
      <c r="I85" s="30">
        <v>9.5505017371184581E-2</v>
      </c>
      <c r="J85" s="30">
        <v>0.1346705897436338</v>
      </c>
      <c r="K85" s="30">
        <v>0.12081786241887085</v>
      </c>
      <c r="L85" s="34">
        <v>0.15664342662580824</v>
      </c>
      <c r="M85" s="32">
        <v>0.12710193235635914</v>
      </c>
      <c r="N85" s="30">
        <v>0.11425459971937298</v>
      </c>
      <c r="O85" s="30">
        <v>0.14604846772895214</v>
      </c>
      <c r="P85" s="30">
        <v>6.0871150623006312E-2</v>
      </c>
      <c r="Q85" s="30">
        <v>3.9614235903903457E-2</v>
      </c>
      <c r="R85" s="30">
        <v>0.17419269054028297</v>
      </c>
      <c r="S85" s="34">
        <v>0.17146734043026299</v>
      </c>
    </row>
    <row r="86" spans="5:19">
      <c r="E86" s="46" t="s">
        <v>6</v>
      </c>
      <c r="F86" s="37">
        <v>0.12005682650076695</v>
      </c>
      <c r="G86" s="36">
        <v>7.5698316649403616E-2</v>
      </c>
      <c r="H86" s="36">
        <v>7.504613260477519E-2</v>
      </c>
      <c r="I86" s="36">
        <v>0.1461531417018086</v>
      </c>
      <c r="J86" s="36">
        <v>7.5086285378677078E-2</v>
      </c>
      <c r="K86" s="36">
        <v>0.14454551730830684</v>
      </c>
      <c r="L86" s="35">
        <v>0.14176430644163437</v>
      </c>
      <c r="M86" s="37">
        <v>0.12417192937554601</v>
      </c>
      <c r="N86" s="36">
        <v>0.10326302133282306</v>
      </c>
      <c r="O86" s="36">
        <v>0.14918991137692569</v>
      </c>
      <c r="P86" s="36">
        <v>2.6640231210400277E-2</v>
      </c>
      <c r="Q86" s="36">
        <v>4.2449244344671851E-2</v>
      </c>
      <c r="R86" s="36">
        <v>0.11683678184620874</v>
      </c>
      <c r="S86" s="35">
        <v>0.14253364074356262</v>
      </c>
    </row>
    <row r="87" spans="5:19">
      <c r="E87" s="44" t="s">
        <v>7</v>
      </c>
      <c r="F87" s="11">
        <v>0.11126162248419916</v>
      </c>
      <c r="G87" s="12">
        <v>0.11077157981106654</v>
      </c>
      <c r="H87" s="12">
        <v>0.12079950591752904</v>
      </c>
      <c r="I87" s="12">
        <v>9.4897789521845313E-2</v>
      </c>
      <c r="J87" s="12">
        <v>8.7438487246140964E-2</v>
      </c>
      <c r="K87" s="12">
        <v>8.3030886295272846E-2</v>
      </c>
      <c r="L87" s="13">
        <v>9.5300052299092081E-2</v>
      </c>
      <c r="M87" s="11">
        <v>3.4688400734355355E-2</v>
      </c>
      <c r="N87" s="12">
        <v>4.9450836324300106E-2</v>
      </c>
      <c r="O87" s="12">
        <v>8.4838828107063072E-2</v>
      </c>
      <c r="P87" s="12">
        <v>3.6076695107152841E-2</v>
      </c>
      <c r="Q87" s="12">
        <v>4.1106787005846496E-2</v>
      </c>
      <c r="R87" s="12">
        <v>6.307142797341736E-2</v>
      </c>
      <c r="S87" s="13">
        <v>6.9528361746073256E-2</v>
      </c>
    </row>
    <row r="88" spans="5:19">
      <c r="E88" s="45" t="s">
        <v>8</v>
      </c>
      <c r="F88" s="14">
        <v>9.5974135008296865E-2</v>
      </c>
      <c r="G88" s="15">
        <v>9.0942552203637506E-2</v>
      </c>
      <c r="H88" s="15">
        <v>0.10906140935991396</v>
      </c>
      <c r="I88" s="15">
        <v>0.10731799165106994</v>
      </c>
      <c r="J88" s="15">
        <v>0.12200489019421171</v>
      </c>
      <c r="K88" s="15">
        <v>0.10981598047538597</v>
      </c>
      <c r="L88" s="16">
        <v>8.308533760751162E-2</v>
      </c>
      <c r="M88" s="14">
        <v>5.8452870417070771E-2</v>
      </c>
      <c r="N88" s="15">
        <v>2.7884311079242306E-2</v>
      </c>
      <c r="O88" s="15">
        <v>9.2920196848804787E-2</v>
      </c>
      <c r="P88" s="15">
        <v>6.5844625886769995E-2</v>
      </c>
      <c r="Q88" s="15">
        <v>9.7047407266313571E-2</v>
      </c>
      <c r="R88" s="15">
        <v>8.7157650133427092E-2</v>
      </c>
      <c r="S88" s="16">
        <v>7.8232246230260871E-2</v>
      </c>
    </row>
    <row r="89" spans="5:19">
      <c r="E89" s="45" t="s">
        <v>9</v>
      </c>
      <c r="F89" s="14">
        <v>0.12543278426663232</v>
      </c>
      <c r="G89" s="15">
        <v>0.12107516177983481</v>
      </c>
      <c r="H89" s="15">
        <v>0.14071591773007314</v>
      </c>
      <c r="I89" s="15">
        <v>8.8324275339077385E-2</v>
      </c>
      <c r="J89" s="15">
        <v>5.527833129158017E-2</v>
      </c>
      <c r="K89" s="15">
        <v>0.13339410942979188</v>
      </c>
      <c r="L89" s="16">
        <v>0.1355819935884186</v>
      </c>
      <c r="M89" s="14">
        <v>0.10593309843821165</v>
      </c>
      <c r="N89" s="15">
        <v>9.2925155796703102E-2</v>
      </c>
      <c r="O89" s="15">
        <v>2.5511929950207953E-2</v>
      </c>
      <c r="P89" s="15">
        <v>0.11830375633508591</v>
      </c>
      <c r="Q89" s="15">
        <v>0.13212833459460158</v>
      </c>
      <c r="R89" s="15">
        <v>9.3093368945685387E-2</v>
      </c>
      <c r="S89" s="16">
        <v>9.6745418563784824E-2</v>
      </c>
    </row>
    <row r="90" spans="5:19">
      <c r="E90" s="45" t="s">
        <v>10</v>
      </c>
      <c r="F90" s="14">
        <v>0.10177412701570276</v>
      </c>
      <c r="G90" s="15">
        <v>9.3349930575084783E-2</v>
      </c>
      <c r="H90" s="15">
        <v>0.12529514287577237</v>
      </c>
      <c r="I90" s="15">
        <v>4.5334131833193132E-2</v>
      </c>
      <c r="J90" s="15">
        <v>0.1393781859365292</v>
      </c>
      <c r="K90" s="15">
        <v>1.5054760895169526E-2</v>
      </c>
      <c r="L90" s="16">
        <v>1.4733259719249764E-2</v>
      </c>
      <c r="M90" s="14">
        <v>7.6713453048828567E-2</v>
      </c>
      <c r="N90" s="15">
        <v>7.0909426407061146E-2</v>
      </c>
      <c r="O90" s="15">
        <v>9.9127420796530613E-2</v>
      </c>
      <c r="P90" s="15">
        <v>3.5409651139011462E-2</v>
      </c>
      <c r="Q90" s="15">
        <v>0.14198820340231796</v>
      </c>
      <c r="R90" s="15">
        <v>5.9736423583025781E-3</v>
      </c>
      <c r="S90" s="16">
        <v>6.9498936473137317E-3</v>
      </c>
    </row>
    <row r="91" spans="5:19">
      <c r="E91" s="45" t="s">
        <v>11</v>
      </c>
      <c r="F91" s="14">
        <v>0.11856543467237685</v>
      </c>
      <c r="G91" s="15">
        <v>0.11880102373666111</v>
      </c>
      <c r="H91" s="15">
        <v>0.138615573696314</v>
      </c>
      <c r="I91" s="15">
        <v>4.7301877689874837E-2</v>
      </c>
      <c r="J91" s="15">
        <v>4.704604358958487E-2</v>
      </c>
      <c r="K91" s="15">
        <v>0.1333222906254509</v>
      </c>
      <c r="L91" s="16">
        <v>0.10521973698197114</v>
      </c>
      <c r="M91" s="14">
        <v>0.11984885347381861</v>
      </c>
      <c r="N91" s="15">
        <v>0.10781424910004613</v>
      </c>
      <c r="O91" s="15">
        <v>6.7123377368433046E-2</v>
      </c>
      <c r="P91" s="15">
        <v>0.12496792292108087</v>
      </c>
      <c r="Q91" s="15">
        <v>7.7904890312620406E-2</v>
      </c>
      <c r="R91" s="15">
        <v>0.1656699952642085</v>
      </c>
      <c r="S91" s="16">
        <v>0.14985202839826026</v>
      </c>
    </row>
    <row r="92" spans="5:19">
      <c r="E92" s="45" t="s">
        <v>12</v>
      </c>
      <c r="F92" s="14">
        <v>0.12703458724693081</v>
      </c>
      <c r="G92" s="15">
        <v>0.11185040777015562</v>
      </c>
      <c r="H92" s="15">
        <v>0.13333108580383715</v>
      </c>
      <c r="I92" s="15">
        <v>6.65284760509747E-2</v>
      </c>
      <c r="J92" s="15">
        <v>7.526525540368674E-2</v>
      </c>
      <c r="K92" s="15">
        <v>0.16049356504033113</v>
      </c>
      <c r="L92" s="16">
        <v>0.15136485063486985</v>
      </c>
      <c r="M92" s="14">
        <v>0.11372893196581031</v>
      </c>
      <c r="N92" s="15">
        <v>9.6673124715206435E-2</v>
      </c>
      <c r="O92" s="15">
        <v>3.5909685910508748E-2</v>
      </c>
      <c r="P92" s="15">
        <v>0.13842310257738594</v>
      </c>
      <c r="Q92" s="15">
        <v>0.14234731420923805</v>
      </c>
      <c r="R92" s="15">
        <v>0.15105118024136394</v>
      </c>
      <c r="S92" s="16">
        <v>0.12935190535023577</v>
      </c>
    </row>
    <row r="93" spans="5:19">
      <c r="E93" s="46" t="s">
        <v>13</v>
      </c>
      <c r="F93" s="17">
        <v>0.10344241954589985</v>
      </c>
      <c r="G93" s="18">
        <v>7.0496660200144945E-2</v>
      </c>
      <c r="H93" s="18">
        <v>0.17197723445555307</v>
      </c>
      <c r="I93" s="18">
        <v>4.6933863614687203E-3</v>
      </c>
      <c r="J93" s="18">
        <v>1.7326205725300251E-2</v>
      </c>
      <c r="K93" s="18">
        <v>0.12938594300991207</v>
      </c>
      <c r="L93" s="19">
        <v>4.6551930623429237E-2</v>
      </c>
      <c r="M93" s="17">
        <v>9.2506646205168006E-2</v>
      </c>
      <c r="N93" s="18">
        <v>4.489617612657841E-2</v>
      </c>
      <c r="O93" s="18">
        <v>3.37512007329916E-2</v>
      </c>
      <c r="P93" s="18">
        <v>0.11140909541692171</v>
      </c>
      <c r="Q93" s="18">
        <v>0.12062003948547219</v>
      </c>
      <c r="R93" s="18">
        <v>7.2410571945692934E-2</v>
      </c>
      <c r="S93" s="19">
        <v>5.9052608196395795E-2</v>
      </c>
    </row>
    <row r="95" spans="5:19">
      <c r="E95" s="76" t="s">
        <v>36</v>
      </c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8"/>
    </row>
    <row r="97" spans="5:19">
      <c r="E97" s="40" t="s">
        <v>21</v>
      </c>
      <c r="F97" s="41" t="s">
        <v>0</v>
      </c>
      <c r="G97" s="42" t="s">
        <v>1</v>
      </c>
      <c r="H97" s="42" t="s">
        <v>2</v>
      </c>
      <c r="I97" s="42" t="s">
        <v>3</v>
      </c>
      <c r="J97" s="42" t="s">
        <v>4</v>
      </c>
      <c r="K97" s="42" t="s">
        <v>5</v>
      </c>
      <c r="L97" s="43" t="s">
        <v>6</v>
      </c>
      <c r="M97" s="41" t="s">
        <v>7</v>
      </c>
      <c r="N97" s="42" t="s">
        <v>8</v>
      </c>
      <c r="O97" s="42" t="s">
        <v>9</v>
      </c>
      <c r="P97" s="42" t="s">
        <v>10</v>
      </c>
      <c r="Q97" s="42" t="s">
        <v>11</v>
      </c>
      <c r="R97" s="42" t="s">
        <v>12</v>
      </c>
      <c r="S97" s="43" t="s">
        <v>13</v>
      </c>
    </row>
    <row r="98" spans="5:19">
      <c r="E98" s="44" t="s">
        <v>0</v>
      </c>
      <c r="F98" s="29">
        <v>5.8729990281492402E-2</v>
      </c>
      <c r="G98" s="31">
        <v>4.8185387005379797E-2</v>
      </c>
      <c r="H98" s="31">
        <v>8.9877016161611603E-2</v>
      </c>
      <c r="I98" s="31">
        <v>7.2075370501057598E-3</v>
      </c>
      <c r="J98" s="31">
        <v>1.60658088235291E-3</v>
      </c>
      <c r="K98" s="31">
        <v>3.8641466666666699E-3</v>
      </c>
      <c r="L98" s="33">
        <v>1.65284375E-2</v>
      </c>
      <c r="M98" s="29">
        <v>0.17774087370734901</v>
      </c>
      <c r="N98" s="31">
        <v>0.14029916162317099</v>
      </c>
      <c r="O98" s="31">
        <v>0.115857092592591</v>
      </c>
      <c r="P98" s="31">
        <v>1.29945663265305E-2</v>
      </c>
      <c r="Q98" s="31">
        <v>4.61999999999998E-4</v>
      </c>
      <c r="R98" s="31">
        <v>6.3178935185185204E-3</v>
      </c>
      <c r="S98" s="33">
        <v>9.5833018867924492E-3</v>
      </c>
    </row>
    <row r="99" spans="5:19">
      <c r="E99" s="45" t="s">
        <v>1</v>
      </c>
      <c r="F99" s="32">
        <v>6.33967110713506E-2</v>
      </c>
      <c r="G99" s="30">
        <v>2.6290711451146299E-2</v>
      </c>
      <c r="H99" s="30">
        <v>6.7454380796510297E-2</v>
      </c>
      <c r="I99" s="30">
        <v>2.6207786116322698E-3</v>
      </c>
      <c r="J99" s="30">
        <v>9.3227722772277295E-4</v>
      </c>
      <c r="K99" s="30">
        <v>1.11114903299203E-3</v>
      </c>
      <c r="L99" s="34">
        <v>1.8174117647058699E-3</v>
      </c>
      <c r="M99" s="32">
        <v>0.12927619722848199</v>
      </c>
      <c r="N99" s="30">
        <v>8.20942066538662E-2</v>
      </c>
      <c r="O99" s="30">
        <v>0.102539442204302</v>
      </c>
      <c r="P99" s="30"/>
      <c r="Q99" s="30"/>
      <c r="R99" s="30">
        <v>1.90636054421767E-3</v>
      </c>
      <c r="S99" s="34">
        <v>4.4486725663716699E-3</v>
      </c>
    </row>
    <row r="100" spans="5:19">
      <c r="E100" s="45" t="s">
        <v>2</v>
      </c>
      <c r="F100" s="32">
        <v>0.17962432561698399</v>
      </c>
      <c r="G100" s="30">
        <v>0.106615936049508</v>
      </c>
      <c r="H100" s="30">
        <v>4.7482564559215901E-2</v>
      </c>
      <c r="I100" s="30">
        <v>2.8524363636363601E-2</v>
      </c>
      <c r="J100" s="30">
        <v>8.0952380952380902E-4</v>
      </c>
      <c r="K100" s="30">
        <v>1.2363037974683499E-2</v>
      </c>
      <c r="L100" s="34">
        <v>7.0691538461538403E-2</v>
      </c>
      <c r="M100" s="32">
        <v>0.204534724709039</v>
      </c>
      <c r="N100" s="30">
        <v>0.17992435680751101</v>
      </c>
      <c r="O100" s="30">
        <v>0.159789865410498</v>
      </c>
      <c r="P100" s="30">
        <v>2.0897499999999999E-2</v>
      </c>
      <c r="Q100" s="30">
        <v>4.4357692307692301E-3</v>
      </c>
      <c r="R100" s="30">
        <v>7.8430714285714201E-2</v>
      </c>
      <c r="S100" s="34">
        <v>3.6133333333333302E-2</v>
      </c>
    </row>
    <row r="101" spans="5:19">
      <c r="E101" s="45" t="s">
        <v>3</v>
      </c>
      <c r="F101" s="32">
        <v>2.9646272806255199E-2</v>
      </c>
      <c r="G101" s="30">
        <v>2.5997230142566E-2</v>
      </c>
      <c r="H101" s="30">
        <v>3.8960497925311102E-2</v>
      </c>
      <c r="I101" s="30">
        <v>1.0000000000000001E-5</v>
      </c>
      <c r="J101" s="30"/>
      <c r="K101" s="30">
        <v>5.0376026119403096E-3</v>
      </c>
      <c r="L101" s="34">
        <v>1.10768599033816E-2</v>
      </c>
      <c r="M101" s="32">
        <v>4.3744485049833602E-2</v>
      </c>
      <c r="N101" s="30">
        <v>2.9509874371859101E-2</v>
      </c>
      <c r="O101" s="30">
        <v>3.9401454545454503E-2</v>
      </c>
      <c r="P101" s="30">
        <v>2.0599999999999999E-4</v>
      </c>
      <c r="Q101" s="30"/>
      <c r="R101" s="30">
        <v>2.55094843049327E-2</v>
      </c>
      <c r="S101" s="34">
        <v>1.3983487738419601E-2</v>
      </c>
    </row>
    <row r="102" spans="5:19">
      <c r="E102" s="45" t="s">
        <v>4</v>
      </c>
      <c r="F102" s="32">
        <v>5.9322570281124302E-2</v>
      </c>
      <c r="G102" s="30">
        <v>5.4496807017543697E-2</v>
      </c>
      <c r="H102" s="30">
        <v>1.5174714285714101E-2</v>
      </c>
      <c r="I102" s="30">
        <v>1.0000000000000001E-5</v>
      </c>
      <c r="J102" s="30"/>
      <c r="K102" s="30"/>
      <c r="L102" s="34"/>
      <c r="M102" s="32">
        <v>0.108486411764705</v>
      </c>
      <c r="N102" s="30">
        <v>3.0736299212598399E-2</v>
      </c>
      <c r="O102" s="30">
        <v>0.23485928571428499</v>
      </c>
      <c r="P102" s="30">
        <v>4.87026315789473E-3</v>
      </c>
      <c r="Q102" s="30">
        <v>9.7434782608695598E-4</v>
      </c>
      <c r="R102" s="30"/>
      <c r="S102" s="34"/>
    </row>
    <row r="103" spans="5:19">
      <c r="E103" s="45" t="s">
        <v>5</v>
      </c>
      <c r="F103" s="32">
        <v>6.3936909581646495E-2</v>
      </c>
      <c r="G103" s="30">
        <v>4.1927081589958198E-2</v>
      </c>
      <c r="H103" s="30">
        <v>1.1346865671641599E-2</v>
      </c>
      <c r="I103" s="30">
        <v>3.3156699999999999</v>
      </c>
      <c r="J103" s="30"/>
      <c r="K103" s="30">
        <v>3.0000000000000001E-3</v>
      </c>
      <c r="L103" s="34"/>
      <c r="M103" s="32">
        <v>0.11809298192771001</v>
      </c>
      <c r="N103" s="30">
        <v>5.6006674584322798E-2</v>
      </c>
      <c r="O103" s="30">
        <v>0.11004369565217299</v>
      </c>
      <c r="P103" s="30">
        <v>2.0737751756440201E-2</v>
      </c>
      <c r="Q103" s="30">
        <v>1.2842016806722601E-3</v>
      </c>
      <c r="R103" s="30"/>
      <c r="S103" s="34"/>
    </row>
    <row r="104" spans="5:19">
      <c r="E104" s="46" t="s">
        <v>6</v>
      </c>
      <c r="F104" s="37">
        <v>3.3362653631284697E-2</v>
      </c>
      <c r="G104" s="36">
        <v>2.1321630252100699E-2</v>
      </c>
      <c r="H104" s="36">
        <v>9.7003806228373596E-3</v>
      </c>
      <c r="I104" s="36"/>
      <c r="J104" s="36">
        <v>1.49E-3</v>
      </c>
      <c r="K104" s="36">
        <v>0.17</v>
      </c>
      <c r="L104" s="35">
        <v>1.0000000000000001E-5</v>
      </c>
      <c r="M104" s="37"/>
      <c r="N104" s="36">
        <v>1.7603827160493701E-2</v>
      </c>
      <c r="O104" s="36">
        <v>5.3333333333333297E-3</v>
      </c>
      <c r="P104" s="36">
        <v>1.6427094594594498E-2</v>
      </c>
      <c r="Q104" s="36">
        <v>1.7880263157894699E-3</v>
      </c>
      <c r="R104" s="36"/>
      <c r="S104" s="35"/>
    </row>
    <row r="105" spans="5:19">
      <c r="E105" s="44" t="s">
        <v>7</v>
      </c>
      <c r="F105" s="11">
        <v>0.17739044160131701</v>
      </c>
      <c r="G105" s="12">
        <v>0.141252731196049</v>
      </c>
      <c r="H105" s="12">
        <v>0.13014620009979699</v>
      </c>
      <c r="I105" s="12">
        <v>1.47795170454545E-2</v>
      </c>
      <c r="J105" s="12">
        <v>4.5652968036529601E-4</v>
      </c>
      <c r="K105" s="12">
        <v>8.7517102137767405E-3</v>
      </c>
      <c r="L105" s="13">
        <v>8.7860067114093904E-3</v>
      </c>
      <c r="M105" s="11">
        <v>5.6940163880529103E-2</v>
      </c>
      <c r="N105" s="12">
        <v>4.57551043375145E-2</v>
      </c>
      <c r="O105" s="12">
        <v>7.8908944409741499E-2</v>
      </c>
      <c r="P105" s="12">
        <v>8.1898458844131394E-3</v>
      </c>
      <c r="Q105" s="12">
        <v>4.8958135283363796E-3</v>
      </c>
      <c r="R105" s="12">
        <v>2.0971676300577998E-3</v>
      </c>
      <c r="S105" s="13">
        <v>1.5689389067523998E-2</v>
      </c>
    </row>
    <row r="106" spans="5:19">
      <c r="E106" s="45" t="s">
        <v>8</v>
      </c>
      <c r="F106" s="14">
        <v>0.125087535408554</v>
      </c>
      <c r="G106" s="15">
        <v>7.7646996544137106E-2</v>
      </c>
      <c r="H106" s="15">
        <v>0.138585433705081</v>
      </c>
      <c r="I106" s="15"/>
      <c r="J106" s="15"/>
      <c r="K106" s="15">
        <v>5.6464169381107501E-3</v>
      </c>
      <c r="L106" s="16">
        <v>1.3160966542750899E-2</v>
      </c>
      <c r="M106" s="14">
        <v>6.7559793770435E-2</v>
      </c>
      <c r="N106" s="15">
        <v>2.7494515595307099E-2</v>
      </c>
      <c r="O106" s="15">
        <v>5.6141248531141698E-2</v>
      </c>
      <c r="P106" s="15">
        <v>2.96772236076476E-3</v>
      </c>
      <c r="Q106" s="15">
        <v>8.9417266187050495E-4</v>
      </c>
      <c r="R106" s="15">
        <v>8.7521739130434599E-4</v>
      </c>
      <c r="S106" s="16">
        <v>1.8863617021276601E-3</v>
      </c>
    </row>
    <row r="107" spans="5:19">
      <c r="E107" s="45" t="s">
        <v>9</v>
      </c>
      <c r="F107" s="14">
        <v>0.178291350159272</v>
      </c>
      <c r="G107" s="15">
        <v>0.149338622448979</v>
      </c>
      <c r="H107" s="15">
        <v>0.20484091364205201</v>
      </c>
      <c r="I107" s="15">
        <v>2.32569117647058E-2</v>
      </c>
      <c r="J107" s="15">
        <v>1.22745744680851E-2</v>
      </c>
      <c r="K107" s="15">
        <v>3.52371428571428E-2</v>
      </c>
      <c r="L107" s="16">
        <v>0.44708999999999999</v>
      </c>
      <c r="M107" s="14">
        <v>0.148850382775116</v>
      </c>
      <c r="N107" s="15">
        <v>9.7186133477437306E-2</v>
      </c>
      <c r="O107" s="15">
        <v>3.57783081841445E-2</v>
      </c>
      <c r="P107" s="15">
        <v>5.2750851063829797E-2</v>
      </c>
      <c r="Q107" s="15">
        <v>1.1594736842105199E-3</v>
      </c>
      <c r="R107" s="15">
        <v>8.4268325791855003E-3</v>
      </c>
      <c r="S107" s="16">
        <v>5.1499375E-2</v>
      </c>
    </row>
    <row r="108" spans="5:19">
      <c r="E108" s="45" t="s">
        <v>10</v>
      </c>
      <c r="F108" s="14">
        <v>5.1841244377810798E-2</v>
      </c>
      <c r="G108" s="15">
        <v>2.70802304147463E-2</v>
      </c>
      <c r="H108" s="15">
        <v>0.19244120000000001</v>
      </c>
      <c r="I108" s="15">
        <v>0.82725749999999998</v>
      </c>
      <c r="J108" s="15"/>
      <c r="K108" s="15">
        <v>7.2376284584980202E-3</v>
      </c>
      <c r="L108" s="16">
        <v>2.0780962025316398E-2</v>
      </c>
      <c r="M108" s="14">
        <v>2.7041499999999701E-2</v>
      </c>
      <c r="N108" s="15">
        <v>2.4673510054844399E-2</v>
      </c>
      <c r="O108" s="15">
        <v>9.8139344262294995E-3</v>
      </c>
      <c r="P108" s="15">
        <v>2.5750000000000002E-4</v>
      </c>
      <c r="Q108" s="15"/>
      <c r="R108" s="15">
        <v>7.0731425598334801E-3</v>
      </c>
      <c r="S108" s="16">
        <v>9.0568080357143095E-3</v>
      </c>
    </row>
    <row r="109" spans="5:19">
      <c r="E109" s="45" t="s">
        <v>11</v>
      </c>
      <c r="F109" s="14">
        <v>7.5134655172413703E-2</v>
      </c>
      <c r="G109" s="15">
        <v>5.8343566878980797E-2</v>
      </c>
      <c r="H109" s="15">
        <v>0.401541818181818</v>
      </c>
      <c r="I109" s="15">
        <v>2.9225136612021701E-3</v>
      </c>
      <c r="J109" s="15">
        <v>1.0348979591836701E-3</v>
      </c>
      <c r="K109" s="15"/>
      <c r="L109" s="16"/>
      <c r="M109" s="14">
        <v>6.0984931506849201E-2</v>
      </c>
      <c r="N109" s="15">
        <v>4.2739932203389598E-2</v>
      </c>
      <c r="O109" s="15">
        <v>1.0374172494172501E-2</v>
      </c>
      <c r="P109" s="15">
        <v>7.6029999999999998</v>
      </c>
      <c r="Q109" s="15"/>
      <c r="R109" s="15">
        <v>5.6752499999999997E-2</v>
      </c>
      <c r="S109" s="16">
        <v>1E-3</v>
      </c>
    </row>
    <row r="110" spans="5:19">
      <c r="E110" s="45" t="s">
        <v>12</v>
      </c>
      <c r="F110" s="14">
        <v>0.140301777108433</v>
      </c>
      <c r="G110" s="15">
        <v>5.64416905444124E-2</v>
      </c>
      <c r="H110" s="15">
        <v>0.15692500000000001</v>
      </c>
      <c r="I110" s="15">
        <v>1.5333752711496699E-2</v>
      </c>
      <c r="J110" s="15">
        <v>1.7124242424242399E-3</v>
      </c>
      <c r="K110" s="15">
        <v>4.8000000000000001E-2</v>
      </c>
      <c r="L110" s="16">
        <v>1.98E-3</v>
      </c>
      <c r="M110" s="14">
        <v>6.1789727685325202E-2</v>
      </c>
      <c r="N110" s="15">
        <v>3.8673446447507802E-2</v>
      </c>
      <c r="O110" s="15">
        <v>9.7114814814813506E-3</v>
      </c>
      <c r="P110" s="15">
        <v>2.3990000000000001E-2</v>
      </c>
      <c r="Q110" s="15"/>
      <c r="R110" s="15">
        <v>4.3333333333333297E-3</v>
      </c>
      <c r="S110" s="16"/>
    </row>
    <row r="111" spans="5:19">
      <c r="E111" s="46" t="s">
        <v>13</v>
      </c>
      <c r="F111" s="17"/>
      <c r="G111" s="18">
        <v>1.1264202453987701E-2</v>
      </c>
      <c r="H111" s="18">
        <v>9.8799999999999999E-2</v>
      </c>
      <c r="I111" s="18">
        <v>1.9449489051094799E-2</v>
      </c>
      <c r="J111" s="18">
        <v>1.0530555555555499E-3</v>
      </c>
      <c r="K111" s="18"/>
      <c r="L111" s="19">
        <v>1.02</v>
      </c>
      <c r="M111" s="17">
        <v>2.7502293906809899E-2</v>
      </c>
      <c r="N111" s="18">
        <v>1.57952574102962E-2</v>
      </c>
      <c r="O111" s="18">
        <v>1.31675257731958E-2</v>
      </c>
      <c r="P111" s="18">
        <v>1.0000000000000001E-5</v>
      </c>
      <c r="Q111" s="18"/>
      <c r="R111" s="18">
        <v>1.98666666666666E-3</v>
      </c>
      <c r="S111" s="19"/>
    </row>
    <row r="113" spans="5:19">
      <c r="E113" s="76" t="s">
        <v>38</v>
      </c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8"/>
    </row>
    <row r="115" spans="5:19">
      <c r="E115" s="40" t="s">
        <v>21</v>
      </c>
      <c r="F115" s="41" t="s">
        <v>0</v>
      </c>
      <c r="G115" s="42" t="s">
        <v>1</v>
      </c>
      <c r="H115" s="42" t="s">
        <v>2</v>
      </c>
      <c r="I115" s="42" t="s">
        <v>3</v>
      </c>
      <c r="J115" s="42" t="s">
        <v>4</v>
      </c>
      <c r="K115" s="42" t="s">
        <v>5</v>
      </c>
      <c r="L115" s="43" t="s">
        <v>6</v>
      </c>
      <c r="M115" s="41" t="s">
        <v>7</v>
      </c>
      <c r="N115" s="42" t="s">
        <v>8</v>
      </c>
      <c r="O115" s="42" t="s">
        <v>9</v>
      </c>
      <c r="P115" s="42" t="s">
        <v>10</v>
      </c>
      <c r="Q115" s="42" t="s">
        <v>11</v>
      </c>
      <c r="R115" s="42" t="s">
        <v>12</v>
      </c>
      <c r="S115" s="43" t="s">
        <v>13</v>
      </c>
    </row>
    <row r="116" spans="5:19">
      <c r="E116" s="44" t="s">
        <v>0</v>
      </c>
      <c r="F116" s="209">
        <v>-0.16312056050701401</v>
      </c>
      <c r="G116" s="210">
        <v>-9.1745270568156997E-2</v>
      </c>
      <c r="H116" s="210">
        <v>9.0048814932718393E-3</v>
      </c>
      <c r="I116" s="210">
        <v>-0.46836741840505502</v>
      </c>
      <c r="J116" s="210">
        <v>-0.45678024252735799</v>
      </c>
      <c r="K116" s="210">
        <v>-8.9703805018147703E-2</v>
      </c>
      <c r="L116" s="211">
        <v>-6.8327338763324003E-2</v>
      </c>
      <c r="M116" s="209">
        <v>-1.3025693662254299E-3</v>
      </c>
      <c r="N116" s="210">
        <v>-0.17550260310650201</v>
      </c>
      <c r="O116" s="210">
        <v>-0.17072184676114699</v>
      </c>
      <c r="P116" s="210">
        <v>0.47072645555944798</v>
      </c>
      <c r="Q116" s="210">
        <v>0.46146091964456898</v>
      </c>
      <c r="R116" s="210">
        <v>-2.2608854089290899E-2</v>
      </c>
      <c r="S116" s="211">
        <v>-9.4984416901596602E-3</v>
      </c>
    </row>
    <row r="117" spans="5:19">
      <c r="E117" s="45" t="s">
        <v>1</v>
      </c>
      <c r="F117" s="212">
        <v>-9.66413178315597E-2</v>
      </c>
      <c r="G117" s="213">
        <v>4.2089513602255303E-2</v>
      </c>
      <c r="H117" s="213">
        <v>0.16548740327894901</v>
      </c>
      <c r="I117" s="213">
        <v>-0.468819595184713</v>
      </c>
      <c r="J117" s="213">
        <v>-0.45984618881754302</v>
      </c>
      <c r="K117" s="213">
        <v>-3.6281189026781999E-2</v>
      </c>
      <c r="L117" s="214">
        <v>-2.2531237233573601E-2</v>
      </c>
      <c r="M117" s="212">
        <v>0.16696986609148901</v>
      </c>
      <c r="N117" s="213">
        <v>-6.0922825342326903E-3</v>
      </c>
      <c r="O117" s="213">
        <v>-0.18647082191516101</v>
      </c>
      <c r="P117" s="213"/>
      <c r="Q117" s="213"/>
      <c r="R117" s="213">
        <v>-5.7010412043796005E-4</v>
      </c>
      <c r="S117" s="214">
        <v>2.0854644459535599E-2</v>
      </c>
    </row>
    <row r="118" spans="5:19">
      <c r="E118" s="45" t="s">
        <v>2</v>
      </c>
      <c r="F118" s="212">
        <v>3.7006046651131802E-2</v>
      </c>
      <c r="G118" s="213">
        <v>0.17036383326263099</v>
      </c>
      <c r="H118" s="213">
        <v>0.12568762575341499</v>
      </c>
      <c r="I118" s="213">
        <v>-0.40596750964155298</v>
      </c>
      <c r="J118" s="213">
        <v>-0.409574346099568</v>
      </c>
      <c r="K118" s="213">
        <v>-0.144827564474237</v>
      </c>
      <c r="L118" s="214">
        <v>-0.13864246108978201</v>
      </c>
      <c r="M118" s="212">
        <v>0.152942509020281</v>
      </c>
      <c r="N118" s="213">
        <v>7.9655260794528907E-2</v>
      </c>
      <c r="O118" s="213">
        <v>-5.8236302557237102E-3</v>
      </c>
      <c r="P118" s="213">
        <v>0.44717175191824998</v>
      </c>
      <c r="Q118" s="213">
        <v>0.44058922400253597</v>
      </c>
      <c r="R118" s="213">
        <v>-4.1843297599170298E-2</v>
      </c>
      <c r="S118" s="214">
        <v>-6.3677546278094604E-2</v>
      </c>
    </row>
    <row r="119" spans="5:19">
      <c r="E119" s="45" t="s">
        <v>3</v>
      </c>
      <c r="F119" s="212">
        <v>-2.4117295023238301E-2</v>
      </c>
      <c r="G119" s="213">
        <v>2.1229576841315101E-2</v>
      </c>
      <c r="H119" s="213">
        <v>-3.3933840811349002E-2</v>
      </c>
      <c r="I119" s="213">
        <v>-0.30392156862745101</v>
      </c>
      <c r="J119" s="213"/>
      <c r="K119" s="213">
        <v>-3.6379964855385603E-2</v>
      </c>
      <c r="L119" s="214">
        <v>9.2223797890650502E-4</v>
      </c>
      <c r="M119" s="212">
        <v>4.7021844836515003E-2</v>
      </c>
      <c r="N119" s="213">
        <v>2.7599721793286399E-2</v>
      </c>
      <c r="O119" s="213">
        <v>0.10081756602992301</v>
      </c>
      <c r="P119" s="213">
        <v>0.46485401320112402</v>
      </c>
      <c r="Q119" s="213"/>
      <c r="R119" s="213">
        <v>2.7299150234214802E-2</v>
      </c>
      <c r="S119" s="214">
        <v>4.8142400282001403E-2</v>
      </c>
    </row>
    <row r="120" spans="5:19">
      <c r="E120" s="45" t="s">
        <v>4</v>
      </c>
      <c r="F120" s="212">
        <v>0.44774950336167901</v>
      </c>
      <c r="G120" s="213">
        <v>0.450695533304447</v>
      </c>
      <c r="H120" s="213">
        <v>0.44134377740839398</v>
      </c>
      <c r="I120" s="213">
        <v>-0.49656357388316102</v>
      </c>
      <c r="J120" s="213"/>
      <c r="K120" s="213"/>
      <c r="L120" s="214"/>
      <c r="M120" s="212">
        <v>0.438056898132483</v>
      </c>
      <c r="N120" s="213">
        <v>0.46746130505279798</v>
      </c>
      <c r="O120" s="213">
        <v>0.34397545407043001</v>
      </c>
      <c r="P120" s="213">
        <v>0.48892120841468401</v>
      </c>
      <c r="Q120" s="213">
        <v>0.48263479830030098</v>
      </c>
      <c r="R120" s="213"/>
      <c r="S120" s="214"/>
    </row>
    <row r="121" spans="5:19">
      <c r="E121" s="45" t="s">
        <v>5</v>
      </c>
      <c r="F121" s="212">
        <v>0.401645632277149</v>
      </c>
      <c r="G121" s="213">
        <v>0.40235922397673901</v>
      </c>
      <c r="H121" s="213">
        <v>0.42617396502186899</v>
      </c>
      <c r="I121" s="213">
        <v>-0.24446689113355699</v>
      </c>
      <c r="J121" s="213"/>
      <c r="K121" s="213">
        <v>0.48412698412698402</v>
      </c>
      <c r="L121" s="214"/>
      <c r="M121" s="212">
        <v>0.42241761501077602</v>
      </c>
      <c r="N121" s="213">
        <v>0.44441919984629003</v>
      </c>
      <c r="O121" s="213">
        <v>0.398924928534586</v>
      </c>
      <c r="P121" s="213">
        <v>0.47664947049894102</v>
      </c>
      <c r="Q121" s="213">
        <v>0.45838404158518897</v>
      </c>
      <c r="R121" s="213"/>
      <c r="S121" s="214"/>
    </row>
    <row r="122" spans="5:19">
      <c r="E122" s="46" t="s">
        <v>6</v>
      </c>
      <c r="F122" s="215">
        <v>0.46706299511510802</v>
      </c>
      <c r="G122" s="216">
        <v>0.47770783165913</v>
      </c>
      <c r="H122" s="216">
        <v>0.475638469026267</v>
      </c>
      <c r="I122" s="216"/>
      <c r="J122" s="216">
        <v>0.36166666666666603</v>
      </c>
      <c r="K122" s="216">
        <v>-0.20422535211267601</v>
      </c>
      <c r="L122" s="217">
        <v>8.3333333333333301E-2</v>
      </c>
      <c r="M122" s="215"/>
      <c r="N122" s="216">
        <v>0.47108461991491002</v>
      </c>
      <c r="O122" s="216">
        <v>0.468691997154569</v>
      </c>
      <c r="P122" s="216">
        <v>0.47285963268967901</v>
      </c>
      <c r="Q122" s="216">
        <v>0.47152015777246498</v>
      </c>
      <c r="R122" s="216"/>
      <c r="S122" s="217"/>
    </row>
    <row r="123" spans="5:19">
      <c r="E123" s="44" t="s">
        <v>7</v>
      </c>
      <c r="F123" s="83">
        <v>6.4282303115092499E-3</v>
      </c>
      <c r="G123" s="84">
        <v>0.173242791723624</v>
      </c>
      <c r="H123" s="84">
        <v>0.16818113250938499</v>
      </c>
      <c r="I123" s="84">
        <v>-0.46130620893167001</v>
      </c>
      <c r="J123" s="84">
        <v>-0.46614308723484199</v>
      </c>
      <c r="K123" s="84">
        <v>1.23092881157391E-2</v>
      </c>
      <c r="L123" s="85">
        <v>1.55980730800451E-2</v>
      </c>
      <c r="M123" s="83">
        <v>0.16539098883471301</v>
      </c>
      <c r="N123" s="84">
        <v>9.5922440123630104E-2</v>
      </c>
      <c r="O123" s="84">
        <v>8.13170396929742E-4</v>
      </c>
      <c r="P123" s="84">
        <v>0.46848036926530501</v>
      </c>
      <c r="Q123" s="84">
        <v>0.45942604098180601</v>
      </c>
      <c r="R123" s="84">
        <v>9.9984956850832099E-2</v>
      </c>
      <c r="S123" s="85">
        <v>7.5183001923172899E-2</v>
      </c>
    </row>
    <row r="124" spans="5:19">
      <c r="E124" s="45" t="s">
        <v>8</v>
      </c>
      <c r="F124" s="86">
        <v>-0.16622703809425399</v>
      </c>
      <c r="G124" s="87">
        <v>-9.4511444590894696E-4</v>
      </c>
      <c r="H124" s="87">
        <v>0.16202640517104</v>
      </c>
      <c r="I124" s="87"/>
      <c r="J124" s="87"/>
      <c r="K124" s="87">
        <v>-2.1168918722018901E-2</v>
      </c>
      <c r="L124" s="88">
        <v>-1.8355324157345899E-2</v>
      </c>
      <c r="M124" s="86">
        <v>9.68399335291623E-2</v>
      </c>
      <c r="N124" s="87">
        <v>-4.4196595034216302E-2</v>
      </c>
      <c r="O124" s="87">
        <v>-0.16453062104244801</v>
      </c>
      <c r="P124" s="87">
        <v>0.46743576552731803</v>
      </c>
      <c r="Q124" s="87">
        <v>0.45536622920365499</v>
      </c>
      <c r="R124" s="87">
        <v>3.1203322499558199E-2</v>
      </c>
      <c r="S124" s="88">
        <v>2.0923455893924199E-2</v>
      </c>
    </row>
    <row r="125" spans="5:19">
      <c r="E125" s="45" t="s">
        <v>9</v>
      </c>
      <c r="F125" s="86">
        <v>-0.14671555463032401</v>
      </c>
      <c r="G125" s="87">
        <v>-0.105267336579261</v>
      </c>
      <c r="H125" s="87">
        <v>-1.28509969142577E-3</v>
      </c>
      <c r="I125" s="87">
        <v>-0.45169049147308599</v>
      </c>
      <c r="J125" s="87">
        <v>-0.442756410274118</v>
      </c>
      <c r="K125" s="87">
        <v>-8.5054951927254804E-2</v>
      </c>
      <c r="L125" s="88">
        <v>-7.2760641169861799E-3</v>
      </c>
      <c r="M125" s="86">
        <v>-2.8473420169660701E-2</v>
      </c>
      <c r="N125" s="87">
        <v>-0.17316116090330499</v>
      </c>
      <c r="O125" s="87">
        <v>-0.12069897043513</v>
      </c>
      <c r="P125" s="87">
        <v>0.39561146488499899</v>
      </c>
      <c r="Q125" s="87">
        <v>0.39097021884650301</v>
      </c>
      <c r="R125" s="87">
        <v>0.14391841530567201</v>
      </c>
      <c r="S125" s="88">
        <v>9.7395084993397302E-2</v>
      </c>
    </row>
    <row r="126" spans="5:19">
      <c r="E126" s="45" t="s">
        <v>10</v>
      </c>
      <c r="F126" s="86">
        <v>-3.5282881728610702E-2</v>
      </c>
      <c r="G126" s="87">
        <v>-3.6000773540697702E-2</v>
      </c>
      <c r="H126" s="87">
        <v>-3.9576251590506803E-2</v>
      </c>
      <c r="I126" s="87">
        <v>-0.201585695006747</v>
      </c>
      <c r="J126" s="87"/>
      <c r="K126" s="87">
        <v>-2.6878541307751001E-2</v>
      </c>
      <c r="L126" s="88">
        <v>-3.5482843402426897E-2</v>
      </c>
      <c r="M126" s="86">
        <v>1.90496152022205E-2</v>
      </c>
      <c r="N126" s="87">
        <v>-2.10228745239525E-2</v>
      </c>
      <c r="O126" s="87">
        <v>1.07335935080656E-2</v>
      </c>
      <c r="P126" s="87">
        <v>0.32669082125603799</v>
      </c>
      <c r="Q126" s="87"/>
      <c r="R126" s="87">
        <v>2.9424926319459099E-2</v>
      </c>
      <c r="S126" s="88">
        <v>1.86636842753613E-2</v>
      </c>
    </row>
    <row r="127" spans="5:19">
      <c r="E127" s="45" t="s">
        <v>11</v>
      </c>
      <c r="F127" s="86">
        <v>-0.442477781733493</v>
      </c>
      <c r="G127" s="87">
        <v>-0.44653335544279199</v>
      </c>
      <c r="H127" s="87">
        <v>-0.35795832872215699</v>
      </c>
      <c r="I127" s="87">
        <v>-0.49103127242350098</v>
      </c>
      <c r="J127" s="87">
        <v>-0.47902252970033499</v>
      </c>
      <c r="K127" s="87"/>
      <c r="L127" s="88"/>
      <c r="M127" s="86">
        <v>-0.43001176055395202</v>
      </c>
      <c r="N127" s="87">
        <v>-0.44517876729866401</v>
      </c>
      <c r="O127" s="87">
        <v>-0.44007874575026701</v>
      </c>
      <c r="P127" s="87">
        <v>-0.18965517241379301</v>
      </c>
      <c r="Q127" s="87"/>
      <c r="R127" s="87">
        <v>-9.1331269349845201E-2</v>
      </c>
      <c r="S127" s="88">
        <v>0.44893617021276599</v>
      </c>
    </row>
    <row r="128" spans="5:19">
      <c r="E128" s="45" t="s">
        <v>12</v>
      </c>
      <c r="F128" s="86">
        <v>-0.40549694034087702</v>
      </c>
      <c r="G128" s="87">
        <v>-0.44327696522288002</v>
      </c>
      <c r="H128" s="87">
        <v>-0.37573873008991798</v>
      </c>
      <c r="I128" s="87">
        <v>-0.47992129800786798</v>
      </c>
      <c r="J128" s="87">
        <v>-0.46009198022086001</v>
      </c>
      <c r="K128" s="87">
        <v>-0.219999999999999</v>
      </c>
      <c r="L128" s="88">
        <v>-0.314569536423841</v>
      </c>
      <c r="M128" s="86">
        <v>-0.398297614792951</v>
      </c>
      <c r="N128" s="87">
        <v>-0.40854290246817099</v>
      </c>
      <c r="O128" s="87">
        <v>-0.42260817889836</v>
      </c>
      <c r="P128" s="87">
        <v>0.11087225105016001</v>
      </c>
      <c r="Q128" s="87"/>
      <c r="R128" s="87">
        <v>-0.22102453102453101</v>
      </c>
      <c r="S128" s="88"/>
    </row>
    <row r="129" spans="5:19">
      <c r="E129" s="46" t="s">
        <v>13</v>
      </c>
      <c r="F129" s="89"/>
      <c r="G129" s="90">
        <v>-0.466440008603066</v>
      </c>
      <c r="H129" s="90">
        <v>-0.38778386264883102</v>
      </c>
      <c r="I129" s="90">
        <v>-0.47243476433528298</v>
      </c>
      <c r="J129" s="90">
        <v>-0.46026339080649697</v>
      </c>
      <c r="K129" s="90"/>
      <c r="L129" s="91">
        <v>-0.204545454545454</v>
      </c>
      <c r="M129" s="89">
        <v>-0.46882477099419001</v>
      </c>
      <c r="N129" s="90">
        <v>-0.47764888650850101</v>
      </c>
      <c r="O129" s="90">
        <v>-0.47352184687655902</v>
      </c>
      <c r="P129" s="90">
        <v>8.3333333333333301E-2</v>
      </c>
      <c r="Q129" s="90"/>
      <c r="R129" s="90">
        <v>-0.18701996927803299</v>
      </c>
      <c r="S129" s="91"/>
    </row>
  </sheetData>
  <mergeCells count="6">
    <mergeCell ref="E22:S22"/>
    <mergeCell ref="E41:S41"/>
    <mergeCell ref="E59:S59"/>
    <mergeCell ref="E77:S77"/>
    <mergeCell ref="E95:S95"/>
    <mergeCell ref="E113:S113"/>
  </mergeCells>
  <conditionalFormatting sqref="C7:C20">
    <cfRule type="colorScale" priority="13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7:S20">
    <cfRule type="colorScale" priority="12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3:S3">
    <cfRule type="colorScale" priority="11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V7:V20">
    <cfRule type="colorScale" priority="10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Y7:Y20">
    <cfRule type="colorScale" priority="9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98:S111">
    <cfRule type="colorScale" priority="8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44:S57">
    <cfRule type="colorScale" priority="7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80:S93">
    <cfRule type="colorScale" priority="6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116:S129">
    <cfRule type="colorScale" priority="5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F25:S38">
    <cfRule type="colorScale" priority="4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C25:C38">
    <cfRule type="colorScale" priority="3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V62:V75">
    <cfRule type="colorScale" priority="2">
      <colorScale>
        <cfvo type="min"/>
        <cfvo type="percentile" val="50"/>
        <cfvo type="max"/>
        <color rgb="FFFF0000"/>
        <color theme="0"/>
        <color rgb="FF00B0F0"/>
      </colorScale>
    </cfRule>
  </conditionalFormatting>
  <conditionalFormatting sqref="Y62:Y75">
    <cfRule type="colorScale" priority="1">
      <colorScale>
        <cfvo type="min"/>
        <cfvo type="percentile" val="50"/>
        <cfvo type="max"/>
        <color rgb="FFFF0000"/>
        <color theme="0"/>
        <color rgb="FF00B0F0"/>
      </colorScale>
    </cfRule>
  </conditionalFormatting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Simul</vt:lpstr>
      <vt:lpstr>Simul_DOL</vt:lpstr>
      <vt:lpstr>Simul_WDO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Carreira</dc:creator>
  <cp:lastModifiedBy>Marcos Carreira</cp:lastModifiedBy>
  <dcterms:created xsi:type="dcterms:W3CDTF">2020-06-04T10:40:44Z</dcterms:created>
  <dcterms:modified xsi:type="dcterms:W3CDTF">2020-06-04T23:09:22Z</dcterms:modified>
</cp:coreProperties>
</file>