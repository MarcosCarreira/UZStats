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My Papers/UZModelUncertainty/UZClass/"/>
    </mc:Choice>
  </mc:AlternateContent>
  <xr:revisionPtr revIDLastSave="0" documentId="13_ncr:1_{2A16B282-9154-D948-8924-7548C3510D33}" xr6:coauthVersionLast="45" xr6:coauthVersionMax="45" xr10:uidLastSave="{00000000-0000-0000-0000-000000000000}"/>
  <bookViews>
    <workbookView xWindow="-28900" yWindow="460" windowWidth="28320" windowHeight="35340" xr2:uid="{4FD1F5F7-7938-2F46-84BB-B96EA2FA67D0}"/>
  </bookViews>
  <sheets>
    <sheet name="CME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50" i="12" l="1"/>
  <c r="Y50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V168" i="12"/>
  <c r="V167" i="12"/>
  <c r="V166" i="12"/>
  <c r="V165" i="12"/>
  <c r="V164" i="12"/>
  <c r="V163" i="12"/>
  <c r="V162" i="12"/>
  <c r="V161" i="12"/>
  <c r="V160" i="12"/>
  <c r="V159" i="12"/>
  <c r="V158" i="12"/>
  <c r="V157" i="12"/>
  <c r="V156" i="12"/>
  <c r="V155" i="12"/>
  <c r="Y20" i="12" l="1"/>
  <c r="Y16" i="12"/>
  <c r="Y14" i="12"/>
  <c r="Y11" i="12"/>
  <c r="Y10" i="12"/>
  <c r="Y2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Y152" i="12" l="1"/>
  <c r="V152" i="12" s="1"/>
</calcChain>
</file>

<file path=xl/sharedStrings.xml><?xml version="1.0" encoding="utf-8"?>
<sst xmlns="http://schemas.openxmlformats.org/spreadsheetml/2006/main" count="684" uniqueCount="75">
  <si>
    <t>L_B</t>
  </si>
  <si>
    <t>C_A</t>
  </si>
  <si>
    <t>M_A</t>
  </si>
  <si>
    <t>I_B</t>
  </si>
  <si>
    <t>DmI_A</t>
  </si>
  <si>
    <t>Dm_A</t>
  </si>
  <si>
    <t>Dc_A</t>
  </si>
  <si>
    <t>L_A</t>
  </si>
  <si>
    <t>C_B</t>
  </si>
  <si>
    <t>M_B</t>
  </si>
  <si>
    <t>I_A</t>
  </si>
  <si>
    <t>DmI_B</t>
  </si>
  <si>
    <t>Dm_B</t>
  </si>
  <si>
    <t>Dc_B</t>
  </si>
  <si>
    <t>Baseline</t>
  </si>
  <si>
    <t>Index</t>
  </si>
  <si>
    <t>Runtime</t>
  </si>
  <si>
    <t>Mean Intensity</t>
  </si>
  <si>
    <t>Count</t>
  </si>
  <si>
    <t>Total</t>
  </si>
  <si>
    <t>Event</t>
  </si>
  <si>
    <t>Mean spread</t>
  </si>
  <si>
    <t>Insert fails</t>
  </si>
  <si>
    <t>Total trades</t>
  </si>
  <si>
    <t>Insert fails %</t>
  </si>
  <si>
    <t>Seed</t>
  </si>
  <si>
    <t>eta</t>
  </si>
  <si>
    <t>Sum of abs price changes</t>
  </si>
  <si>
    <t>Mean of price changes</t>
  </si>
  <si>
    <t>Nr of price changes</t>
  </si>
  <si>
    <t>Mean of abs price changes</t>
  </si>
  <si>
    <t>Price move</t>
  </si>
  <si>
    <t>Total events</t>
  </si>
  <si>
    <t>Kernel Norms</t>
  </si>
  <si>
    <t>eta1</t>
  </si>
  <si>
    <t>rvp</t>
  </si>
  <si>
    <t>rvx</t>
  </si>
  <si>
    <t>rvxe</t>
  </si>
  <si>
    <t>dt_cont</t>
  </si>
  <si>
    <t>dt_alt</t>
  </si>
  <si>
    <t>dt_avg</t>
  </si>
  <si>
    <t>duration</t>
  </si>
  <si>
    <t>chgavg</t>
  </si>
  <si>
    <t>ndfpr</t>
  </si>
  <si>
    <t>spot_avg</t>
  </si>
  <si>
    <t>Date</t>
  </si>
  <si>
    <t>M</t>
  </si>
  <si>
    <t>S1</t>
  </si>
  <si>
    <t>Volume</t>
  </si>
  <si>
    <t>20180104_6EH8</t>
  </si>
  <si>
    <t>mean</t>
  </si>
  <si>
    <t>q10</t>
  </si>
  <si>
    <t>q30</t>
  </si>
  <si>
    <t>median</t>
  </si>
  <si>
    <t>q70</t>
  </si>
  <si>
    <t>q90</t>
  </si>
  <si>
    <t>Event_Size</t>
  </si>
  <si>
    <t>bid_1_qty</t>
  </si>
  <si>
    <t>ask_1_qty</t>
  </si>
  <si>
    <t>trade_qty</t>
  </si>
  <si>
    <t>count</t>
  </si>
  <si>
    <t>std</t>
  </si>
  <si>
    <t>min</t>
  </si>
  <si>
    <t>max</t>
  </si>
  <si>
    <t>TW(sec)</t>
  </si>
  <si>
    <t>Latency</t>
  </si>
  <si>
    <t>Event Size</t>
  </si>
  <si>
    <t>Previous Imbalance</t>
  </si>
  <si>
    <t>Previous Spread Ticks</t>
  </si>
  <si>
    <t>Counts</t>
  </si>
  <si>
    <t>Durations</t>
  </si>
  <si>
    <t>Kernel</t>
  </si>
  <si>
    <t>TS</t>
  </si>
  <si>
    <t>Kernel Norms - Before</t>
  </si>
  <si>
    <t>Kernel Norms -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</si>
</sst>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;\-#,##0.000;&quot;-&quot;\ "/>
    <numFmt numFmtId="165" formatCode="#,##0.0;\-#,##0.0;&quot;-&quot;\ "/>
    <numFmt numFmtId="166" formatCode="#,##0;\-#,##0;&quot;-&quot;\ "/>
    <numFmt numFmtId="167" formatCode="0.000"/>
    <numFmt numFmtId="168" formatCode="0.0000"/>
    <numFmt numFmtId="169" formatCode="#,##0.00;\-#,##0.00;&quot;-&quot;\ "/>
    <numFmt numFmtId="170" formatCode="#,##0.0000;\-#,##0.0000;&quot;-&quot;\ "/>
    <numFmt numFmtId="171" formatCode="#,##0.000"/>
    <numFmt numFmtId="174" formatCode="#,##0.0000%"/>
    <numFmt numFmtId="175" formatCode="#,##0.0"/>
    <numFmt numFmtId="176" formatCode="#,##0.0%"/>
    <numFmt numFmtId="178" formatCode="yyyy\-mm\-dd;@"/>
    <numFmt numFmtId="181" formatCode="#,##0.000000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164" fontId="2" fillId="0" borderId="0" xfId="0" applyNumberFormat="1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15" xfId="0" applyNumberFormat="1" applyFont="1" applyBorder="1"/>
    <xf numFmtId="0" fontId="0" fillId="0" borderId="0" xfId="0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0" fillId="0" borderId="1" xfId="0" applyBorder="1" applyAlignment="1">
      <alignment horizontal="right"/>
    </xf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 applyBorder="1"/>
    <xf numFmtId="164" fontId="3" fillId="0" borderId="9" xfId="0" applyNumberFormat="1" applyFont="1" applyBorder="1"/>
    <xf numFmtId="164" fontId="3" fillId="0" borderId="11" xfId="0" applyNumberFormat="1" applyFont="1" applyBorder="1"/>
    <xf numFmtId="164" fontId="3" fillId="0" borderId="10" xfId="0" applyNumberFormat="1" applyFont="1" applyBorder="1"/>
    <xf numFmtId="164" fontId="3" fillId="0" borderId="12" xfId="0" applyNumberFormat="1" applyFont="1" applyBorder="1"/>
    <xf numFmtId="164" fontId="3" fillId="0" borderId="15" xfId="0" applyNumberFormat="1" applyFont="1" applyBorder="1"/>
    <xf numFmtId="164" fontId="3" fillId="0" borderId="14" xfId="0" applyNumberFormat="1" applyFont="1" applyBorder="1"/>
    <xf numFmtId="164" fontId="3" fillId="0" borderId="13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2" xfId="0" applyNumberFormat="1" applyFont="1" applyBorder="1"/>
    <xf numFmtId="166" fontId="2" fillId="0" borderId="3" xfId="0" applyNumberFormat="1" applyFont="1" applyBorder="1"/>
    <xf numFmtId="166" fontId="2" fillId="0" borderId="4" xfId="0" applyNumberFormat="1" applyFont="1" applyBorder="1"/>
    <xf numFmtId="166" fontId="2" fillId="0" borderId="0" xfId="0" applyNumberFormat="1" applyFont="1"/>
    <xf numFmtId="166" fontId="2" fillId="0" borderId="1" xfId="0" applyNumberFormat="1" applyFont="1" applyBorder="1"/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164" fontId="2" fillId="0" borderId="1" xfId="0" applyNumberFormat="1" applyFont="1" applyBorder="1"/>
    <xf numFmtId="166" fontId="3" fillId="0" borderId="8" xfId="0" applyNumberFormat="1" applyFont="1" applyBorder="1"/>
    <xf numFmtId="166" fontId="3" fillId="0" borderId="9" xfId="0" applyNumberFormat="1" applyFont="1" applyBorder="1"/>
    <xf numFmtId="166" fontId="3" fillId="0" borderId="10" xfId="0" applyNumberFormat="1" applyFont="1" applyBorder="1"/>
    <xf numFmtId="166" fontId="3" fillId="0" borderId="11" xfId="0" applyNumberFormat="1" applyFont="1" applyBorder="1"/>
    <xf numFmtId="166" fontId="3" fillId="0" borderId="0" xfId="0" applyNumberFormat="1" applyFont="1" applyBorder="1"/>
    <xf numFmtId="166" fontId="3" fillId="0" borderId="12" xfId="0" applyNumberFormat="1" applyFont="1" applyBorder="1"/>
    <xf numFmtId="166" fontId="3" fillId="0" borderId="13" xfId="0" applyNumberFormat="1" applyFont="1" applyBorder="1"/>
    <xf numFmtId="166" fontId="3" fillId="0" borderId="14" xfId="0" applyNumberFormat="1" applyFont="1" applyBorder="1"/>
    <xf numFmtId="166" fontId="3" fillId="0" borderId="15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166" fontId="2" fillId="0" borderId="10" xfId="0" applyNumberFormat="1" applyFont="1" applyBorder="1"/>
    <xf numFmtId="166" fontId="2" fillId="0" borderId="11" xfId="0" applyNumberFormat="1" applyFont="1" applyBorder="1"/>
    <xf numFmtId="166" fontId="2" fillId="0" borderId="0" xfId="0" applyNumberFormat="1" applyFont="1" applyBorder="1"/>
    <xf numFmtId="166" fontId="2" fillId="0" borderId="12" xfId="0" applyNumberFormat="1" applyFont="1" applyBorder="1"/>
    <xf numFmtId="166" fontId="2" fillId="0" borderId="13" xfId="0" applyNumberFormat="1" applyFont="1" applyBorder="1"/>
    <xf numFmtId="166" fontId="2" fillId="0" borderId="14" xfId="0" applyNumberFormat="1" applyFont="1" applyBorder="1"/>
    <xf numFmtId="166" fontId="2" fillId="0" borderId="15" xfId="0" applyNumberFormat="1" applyFont="1" applyBorder="1"/>
    <xf numFmtId="0" fontId="2" fillId="0" borderId="0" xfId="0" applyFont="1"/>
    <xf numFmtId="2" fontId="2" fillId="0" borderId="0" xfId="0" applyNumberFormat="1" applyFont="1"/>
    <xf numFmtId="9" fontId="2" fillId="0" borderId="0" xfId="1" applyFont="1"/>
    <xf numFmtId="166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167" fontId="2" fillId="0" borderId="0" xfId="0" applyNumberFormat="1" applyFont="1"/>
    <xf numFmtId="168" fontId="2" fillId="0" borderId="0" xfId="0" applyNumberFormat="1" applyFont="1"/>
    <xf numFmtId="169" fontId="2" fillId="0" borderId="8" xfId="0" applyNumberFormat="1" applyFont="1" applyBorder="1"/>
    <xf numFmtId="169" fontId="2" fillId="0" borderId="9" xfId="0" applyNumberFormat="1" applyFont="1" applyBorder="1"/>
    <xf numFmtId="169" fontId="2" fillId="0" borderId="10" xfId="0" applyNumberFormat="1" applyFont="1" applyBorder="1"/>
    <xf numFmtId="169" fontId="2" fillId="0" borderId="11" xfId="0" applyNumberFormat="1" applyFont="1" applyBorder="1"/>
    <xf numFmtId="169" fontId="2" fillId="0" borderId="0" xfId="0" applyNumberFormat="1" applyFont="1" applyBorder="1"/>
    <xf numFmtId="169" fontId="2" fillId="0" borderId="12" xfId="0" applyNumberFormat="1" applyFont="1" applyBorder="1"/>
    <xf numFmtId="169" fontId="2" fillId="0" borderId="13" xfId="0" applyNumberFormat="1" applyFont="1" applyBorder="1"/>
    <xf numFmtId="169" fontId="2" fillId="0" borderId="14" xfId="0" applyNumberFormat="1" applyFont="1" applyBorder="1"/>
    <xf numFmtId="169" fontId="2" fillId="0" borderId="15" xfId="0" applyNumberFormat="1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9" fontId="3" fillId="0" borderId="8" xfId="0" applyNumberFormat="1" applyFont="1" applyBorder="1"/>
    <xf numFmtId="169" fontId="3" fillId="0" borderId="9" xfId="0" applyNumberFormat="1" applyFont="1" applyBorder="1"/>
    <xf numFmtId="169" fontId="3" fillId="0" borderId="10" xfId="0" applyNumberFormat="1" applyFont="1" applyBorder="1"/>
    <xf numFmtId="169" fontId="3" fillId="0" borderId="11" xfId="0" applyNumberFormat="1" applyFont="1" applyBorder="1"/>
    <xf numFmtId="169" fontId="3" fillId="0" borderId="0" xfId="0" applyNumberFormat="1" applyFont="1" applyBorder="1"/>
    <xf numFmtId="169" fontId="3" fillId="0" borderId="12" xfId="0" applyNumberFormat="1" applyFont="1" applyBorder="1"/>
    <xf numFmtId="169" fontId="3" fillId="0" borderId="13" xfId="0" applyNumberFormat="1" applyFont="1" applyBorder="1"/>
    <xf numFmtId="169" fontId="3" fillId="0" borderId="14" xfId="0" applyNumberFormat="1" applyFont="1" applyBorder="1"/>
    <xf numFmtId="169" fontId="3" fillId="0" borderId="15" xfId="0" applyNumberFormat="1" applyFont="1" applyBorder="1"/>
    <xf numFmtId="170" fontId="3" fillId="0" borderId="8" xfId="0" applyNumberFormat="1" applyFont="1" applyBorder="1"/>
    <xf numFmtId="170" fontId="3" fillId="0" borderId="9" xfId="0" applyNumberFormat="1" applyFont="1" applyBorder="1"/>
    <xf numFmtId="170" fontId="3" fillId="0" borderId="10" xfId="0" applyNumberFormat="1" applyFont="1" applyBorder="1"/>
    <xf numFmtId="170" fontId="3" fillId="0" borderId="11" xfId="0" applyNumberFormat="1" applyFont="1" applyBorder="1"/>
    <xf numFmtId="170" fontId="3" fillId="0" borderId="0" xfId="0" applyNumberFormat="1" applyFont="1" applyBorder="1"/>
    <xf numFmtId="170" fontId="3" fillId="0" borderId="12" xfId="0" applyNumberFormat="1" applyFont="1" applyBorder="1"/>
    <xf numFmtId="170" fontId="3" fillId="0" borderId="13" xfId="0" applyNumberFormat="1" applyFont="1" applyBorder="1"/>
    <xf numFmtId="170" fontId="3" fillId="0" borderId="14" xfId="0" applyNumberFormat="1" applyFont="1" applyBorder="1"/>
    <xf numFmtId="170" fontId="3" fillId="0" borderId="15" xfId="0" applyNumberFormat="1" applyFont="1" applyBorder="1"/>
    <xf numFmtId="170" fontId="2" fillId="0" borderId="8" xfId="0" applyNumberFormat="1" applyFont="1" applyBorder="1"/>
    <xf numFmtId="170" fontId="2" fillId="0" borderId="9" xfId="0" applyNumberFormat="1" applyFont="1" applyBorder="1"/>
    <xf numFmtId="170" fontId="2" fillId="0" borderId="10" xfId="0" applyNumberFormat="1" applyFont="1" applyBorder="1"/>
    <xf numFmtId="170" fontId="2" fillId="0" borderId="11" xfId="0" applyNumberFormat="1" applyFont="1" applyBorder="1"/>
    <xf numFmtId="170" fontId="2" fillId="0" borderId="0" xfId="0" applyNumberFormat="1" applyFont="1" applyBorder="1"/>
    <xf numFmtId="170" fontId="2" fillId="0" borderId="12" xfId="0" applyNumberFormat="1" applyFont="1" applyBorder="1"/>
    <xf numFmtId="170" fontId="2" fillId="0" borderId="13" xfId="0" applyNumberFormat="1" applyFont="1" applyBorder="1"/>
    <xf numFmtId="170" fontId="2" fillId="0" borderId="14" xfId="0" applyNumberFormat="1" applyFont="1" applyBorder="1"/>
    <xf numFmtId="170" fontId="2" fillId="0" borderId="15" xfId="0" applyNumberFormat="1" applyFont="1" applyBorder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3" fontId="0" fillId="0" borderId="12" xfId="0" applyNumberFormat="1" applyBorder="1"/>
    <xf numFmtId="3" fontId="0" fillId="0" borderId="15" xfId="0" applyNumberFormat="1" applyBorder="1"/>
    <xf numFmtId="175" fontId="0" fillId="0" borderId="3" xfId="0" applyNumberFormat="1" applyBorder="1"/>
    <xf numFmtId="175" fontId="0" fillId="0" borderId="4" xfId="0" applyNumberFormat="1" applyBorder="1"/>
    <xf numFmtId="3" fontId="0" fillId="0" borderId="11" xfId="0" applyNumberFormat="1" applyBorder="1"/>
    <xf numFmtId="3" fontId="0" fillId="0" borderId="0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5" xfId="0" applyFill="1" applyBorder="1"/>
    <xf numFmtId="0" fontId="2" fillId="2" borderId="7" xfId="0" applyFont="1" applyFill="1" applyBorder="1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9" fontId="0" fillId="0" borderId="3" xfId="0" applyNumberFormat="1" applyBorder="1" applyAlignment="1">
      <alignment horizontal="right"/>
    </xf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175" fontId="0" fillId="0" borderId="8" xfId="0" applyNumberFormat="1" applyBorder="1"/>
    <xf numFmtId="175" fontId="0" fillId="0" borderId="9" xfId="0" applyNumberFormat="1" applyBorder="1"/>
    <xf numFmtId="175" fontId="0" fillId="0" borderId="10" xfId="0" applyNumberFormat="1" applyBorder="1"/>
    <xf numFmtId="175" fontId="0" fillId="0" borderId="13" xfId="0" applyNumberFormat="1" applyBorder="1"/>
    <xf numFmtId="175" fontId="0" fillId="0" borderId="14" xfId="0" applyNumberFormat="1" applyBorder="1"/>
    <xf numFmtId="175" fontId="0" fillId="0" borderId="15" xfId="0" applyNumberFormat="1" applyBorder="1"/>
    <xf numFmtId="0" fontId="2" fillId="2" borderId="1" xfId="0" applyFont="1" applyFill="1" applyBorder="1" applyAlignment="1">
      <alignment horizontal="center"/>
    </xf>
    <xf numFmtId="175" fontId="2" fillId="2" borderId="7" xfId="0" applyNumberFormat="1" applyFont="1" applyFill="1" applyBorder="1"/>
    <xf numFmtId="0" fontId="2" fillId="0" borderId="8" xfId="0" applyFont="1" applyBorder="1"/>
    <xf numFmtId="171" fontId="2" fillId="0" borderId="10" xfId="0" applyNumberFormat="1" applyFont="1" applyBorder="1"/>
    <xf numFmtId="0" fontId="2" fillId="0" borderId="11" xfId="0" applyFont="1" applyBorder="1"/>
    <xf numFmtId="174" fontId="2" fillId="0" borderId="12" xfId="0" applyNumberFormat="1" applyFont="1" applyBorder="1"/>
    <xf numFmtId="171" fontId="2" fillId="0" borderId="12" xfId="0" applyNumberFormat="1" applyFont="1" applyBorder="1"/>
    <xf numFmtId="3" fontId="2" fillId="0" borderId="12" xfId="0" applyNumberFormat="1" applyFont="1" applyBorder="1"/>
    <xf numFmtId="4" fontId="2" fillId="0" borderId="12" xfId="0" applyNumberFormat="1" applyFont="1" applyBorder="1"/>
    <xf numFmtId="176" fontId="2" fillId="0" borderId="12" xfId="0" applyNumberFormat="1" applyFont="1" applyBorder="1"/>
    <xf numFmtId="0" fontId="2" fillId="0" borderId="13" xfId="0" applyFont="1" applyBorder="1"/>
    <xf numFmtId="3" fontId="2" fillId="0" borderId="15" xfId="0" applyNumberFormat="1" applyFont="1" applyBorder="1"/>
    <xf numFmtId="178" fontId="2" fillId="0" borderId="12" xfId="0" applyNumberFormat="1" applyFont="1" applyBorder="1"/>
    <xf numFmtId="0" fontId="2" fillId="0" borderId="5" xfId="0" applyFont="1" applyBorder="1"/>
    <xf numFmtId="0" fontId="0" fillId="2" borderId="1" xfId="0" applyFill="1" applyBorder="1" applyAlignment="1">
      <alignment horizontal="center"/>
    </xf>
    <xf numFmtId="181" fontId="2" fillId="2" borderId="7" xfId="0" applyNumberFormat="1" applyFont="1" applyFill="1" applyBorder="1"/>
    <xf numFmtId="0" fontId="2" fillId="0" borderId="0" xfId="0" applyFont="1" applyBorder="1" applyAlignment="1">
      <alignment horizontal="right"/>
    </xf>
    <xf numFmtId="165" fontId="4" fillId="0" borderId="0" xfId="0" applyNumberFormat="1" applyFont="1" applyBorder="1"/>
    <xf numFmtId="0" fontId="5" fillId="0" borderId="0" xfId="0" applyFont="1" applyBorder="1" applyAlignment="1">
      <alignment horizontal="right"/>
    </xf>
    <xf numFmtId="166" fontId="5" fillId="0" borderId="0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0" fontId="2" fillId="0" borderId="0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31</xdr:row>
      <xdr:rowOff>165100</xdr:rowOff>
    </xdr:from>
    <xdr:to>
      <xdr:col>9</xdr:col>
      <xdr:colOff>304800</xdr:colOff>
      <xdr:row>34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F37EF9-70A2-A44E-9E22-ECB368AFFAE0}"/>
            </a:ext>
          </a:extLst>
        </xdr:cNvPr>
        <xdr:cNvSpPr txBox="1"/>
      </xdr:nvSpPr>
      <xdr:spPr>
        <a:xfrm>
          <a:off x="3860800" y="14795500"/>
          <a:ext cx="18542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6</xdr:col>
      <xdr:colOff>546100</xdr:colOff>
      <xdr:row>38</xdr:row>
      <xdr:rowOff>76200</xdr:rowOff>
    </xdr:from>
    <xdr:to>
      <xdr:col>9</xdr:col>
      <xdr:colOff>342900</xdr:colOff>
      <xdr:row>41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2ECA6-EB91-9140-9842-6B0D3F826F12}"/>
            </a:ext>
          </a:extLst>
        </xdr:cNvPr>
        <xdr:cNvSpPr txBox="1"/>
      </xdr:nvSpPr>
      <xdr:spPr>
        <a:xfrm>
          <a:off x="3898900" y="16129000"/>
          <a:ext cx="18542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14</xdr:col>
      <xdr:colOff>127000</xdr:colOff>
      <xdr:row>31</xdr:row>
      <xdr:rowOff>50800</xdr:rowOff>
    </xdr:from>
    <xdr:to>
      <xdr:col>16</xdr:col>
      <xdr:colOff>342900</xdr:colOff>
      <xdr:row>34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9EF579-1CCE-764B-B52F-81B5BB6080BF}"/>
            </a:ext>
          </a:extLst>
        </xdr:cNvPr>
        <xdr:cNvSpPr txBox="1"/>
      </xdr:nvSpPr>
      <xdr:spPr>
        <a:xfrm>
          <a:off x="8966200" y="146812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14</xdr:col>
      <xdr:colOff>203200</xdr:colOff>
      <xdr:row>38</xdr:row>
      <xdr:rowOff>139700</xdr:rowOff>
    </xdr:from>
    <xdr:to>
      <xdr:col>16</xdr:col>
      <xdr:colOff>419100</xdr:colOff>
      <xdr:row>41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C1585D-BEB5-6A4F-962E-F5960A439286}"/>
            </a:ext>
          </a:extLst>
        </xdr:cNvPr>
        <xdr:cNvSpPr txBox="1"/>
      </xdr:nvSpPr>
      <xdr:spPr>
        <a:xfrm>
          <a:off x="9042400" y="16192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10</xdr:col>
      <xdr:colOff>355600</xdr:colOff>
      <xdr:row>26</xdr:row>
      <xdr:rowOff>165100</xdr:rowOff>
    </xdr:from>
    <xdr:to>
      <xdr:col>13</xdr:col>
      <xdr:colOff>190500</xdr:colOff>
      <xdr:row>28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0B2C1B-565E-E443-BEBA-E2A645661C53}"/>
            </a:ext>
          </a:extLst>
        </xdr:cNvPr>
        <xdr:cNvSpPr txBox="1"/>
      </xdr:nvSpPr>
      <xdr:spPr>
        <a:xfrm>
          <a:off x="6451600" y="14389100"/>
          <a:ext cx="18923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Previous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  <xdr:twoCellAnchor>
    <xdr:from>
      <xdr:col>3</xdr:col>
      <xdr:colOff>101600</xdr:colOff>
      <xdr:row>33</xdr:row>
      <xdr:rowOff>190500</xdr:rowOff>
    </xdr:from>
    <xdr:to>
      <xdr:col>3</xdr:col>
      <xdr:colOff>508000</xdr:colOff>
      <xdr:row>40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CFA6006-D141-634A-A8D6-09900486A7A0}"/>
            </a:ext>
          </a:extLst>
        </xdr:cNvPr>
        <xdr:cNvSpPr txBox="1"/>
      </xdr:nvSpPr>
      <xdr:spPr>
        <a:xfrm>
          <a:off x="1828800" y="15836900"/>
          <a:ext cx="4064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600" b="1"/>
            <a:t>Next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  <xdr:twoCellAnchor>
    <xdr:from>
      <xdr:col>0</xdr:col>
      <xdr:colOff>203200</xdr:colOff>
      <xdr:row>194</xdr:row>
      <xdr:rowOff>12700</xdr:rowOff>
    </xdr:from>
    <xdr:to>
      <xdr:col>3</xdr:col>
      <xdr:colOff>330200</xdr:colOff>
      <xdr:row>196</xdr:row>
      <xdr:rowOff>12700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72FD4C-B30A-BA46-B609-BFCC0873C269}"/>
            </a:ext>
          </a:extLst>
        </xdr:cNvPr>
        <xdr:cNvSpPr txBox="1"/>
      </xdr:nvSpPr>
      <xdr:spPr>
        <a:xfrm>
          <a:off x="203200" y="30695900"/>
          <a:ext cx="158750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Median</a:t>
          </a:r>
        </a:p>
      </xdr:txBody>
    </xdr:sp>
    <xdr:clientData/>
  </xdr:twoCellAnchor>
  <xdr:twoCellAnchor>
    <xdr:from>
      <xdr:col>1</xdr:col>
      <xdr:colOff>12700</xdr:colOff>
      <xdr:row>177</xdr:row>
      <xdr:rowOff>152400</xdr:rowOff>
    </xdr:from>
    <xdr:to>
      <xdr:col>3</xdr:col>
      <xdr:colOff>355600</xdr:colOff>
      <xdr:row>179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5D32122-1322-CF43-A61F-4D901F708E80}"/>
            </a:ext>
          </a:extLst>
        </xdr:cNvPr>
        <xdr:cNvSpPr txBox="1"/>
      </xdr:nvSpPr>
      <xdr:spPr>
        <a:xfrm>
          <a:off x="228600" y="20878800"/>
          <a:ext cx="158750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Mean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684E-17BE-3045-AD92-8269965FCEFA}">
  <dimension ref="B2:Y256"/>
  <sheetViews>
    <sheetView showGridLines="0" tabSelected="1" workbookViewId="0">
      <pane xSplit="5" ySplit="25" topLeftCell="F135" activePane="bottomRight" state="frozen"/>
      <selection pane="topRight" activeCell="F1" sqref="F1"/>
      <selection pane="bottomLeft" activeCell="A25" sqref="A25"/>
      <selection pane="bottomRight" activeCell="E154" sqref="E154"/>
    </sheetView>
  </sheetViews>
  <sheetFormatPr baseColWidth="10" defaultRowHeight="16"/>
  <cols>
    <col min="1" max="1" width="2.83203125" customWidth="1"/>
    <col min="2" max="2" width="8.5" bestFit="1" customWidth="1"/>
    <col min="3" max="3" width="11.33203125" customWidth="1"/>
    <col min="4" max="4" width="7.1640625" customWidth="1"/>
    <col min="5" max="5" width="8.1640625" bestFit="1" customWidth="1"/>
    <col min="6" max="6" width="7.33203125" bestFit="1" customWidth="1"/>
    <col min="7" max="19" width="9" customWidth="1"/>
    <col min="20" max="20" width="2.33203125" customWidth="1"/>
    <col min="21" max="21" width="8.1640625" bestFit="1" customWidth="1"/>
    <col min="22" max="22" width="13.33203125" bestFit="1" customWidth="1"/>
    <col min="23" max="23" width="6.1640625" customWidth="1"/>
    <col min="24" max="24" width="7.5" customWidth="1"/>
    <col min="25" max="25" width="10" customWidth="1"/>
    <col min="27" max="27" width="8.6640625" bestFit="1" customWidth="1"/>
    <col min="28" max="29" width="6.6640625" bestFit="1" customWidth="1"/>
    <col min="30" max="31" width="5.6640625" bestFit="1" customWidth="1"/>
    <col min="32" max="32" width="6.6640625" bestFit="1" customWidth="1"/>
    <col min="33" max="33" width="6.1640625" bestFit="1" customWidth="1"/>
    <col min="34" max="34" width="5.33203125" bestFit="1" customWidth="1"/>
    <col min="35" max="36" width="6.6640625" bestFit="1" customWidth="1"/>
    <col min="37" max="38" width="5.6640625" bestFit="1" customWidth="1"/>
    <col min="39" max="39" width="6.6640625" bestFit="1" customWidth="1"/>
    <col min="40" max="40" width="6.1640625" bestFit="1" customWidth="1"/>
    <col min="41" max="41" width="5.33203125" bestFit="1" customWidth="1"/>
  </cols>
  <sheetData>
    <row r="2" spans="2:25">
      <c r="B2" s="136"/>
      <c r="C2" s="137" t="s">
        <v>49</v>
      </c>
      <c r="F2" s="138"/>
      <c r="G2" s="139" t="s">
        <v>50</v>
      </c>
      <c r="H2" s="4" t="s">
        <v>51</v>
      </c>
      <c r="I2" s="5" t="s">
        <v>52</v>
      </c>
      <c r="J2" s="5" t="s">
        <v>53</v>
      </c>
      <c r="K2" s="5" t="s">
        <v>54</v>
      </c>
      <c r="L2" s="6" t="s">
        <v>55</v>
      </c>
      <c r="N2" s="164" t="s">
        <v>11</v>
      </c>
      <c r="O2" s="4" t="s">
        <v>57</v>
      </c>
      <c r="P2" s="5" t="s">
        <v>58</v>
      </c>
      <c r="Q2" s="6" t="s">
        <v>59</v>
      </c>
      <c r="X2" s="38" t="s">
        <v>16</v>
      </c>
      <c r="Y2" s="37">
        <f>9.25*3600</f>
        <v>33300</v>
      </c>
    </row>
    <row r="3" spans="2:25">
      <c r="B3" s="152" t="s">
        <v>34</v>
      </c>
      <c r="C3" s="153">
        <v>0.30098096390645007</v>
      </c>
      <c r="F3" s="133" t="s">
        <v>20</v>
      </c>
      <c r="G3" s="133" t="s">
        <v>56</v>
      </c>
      <c r="H3" s="132" t="s">
        <v>56</v>
      </c>
      <c r="I3" s="134" t="s">
        <v>56</v>
      </c>
      <c r="J3" s="134" t="s">
        <v>56</v>
      </c>
      <c r="K3" s="134" t="s">
        <v>56</v>
      </c>
      <c r="L3" s="135" t="s">
        <v>56</v>
      </c>
      <c r="N3" s="24" t="s">
        <v>60</v>
      </c>
      <c r="O3" s="141">
        <v>1862</v>
      </c>
      <c r="P3" s="142">
        <v>1862</v>
      </c>
      <c r="Q3" s="143">
        <v>1862</v>
      </c>
      <c r="X3" s="76" t="s">
        <v>25</v>
      </c>
      <c r="Y3" s="75">
        <v>7834798</v>
      </c>
    </row>
    <row r="4" spans="2:25">
      <c r="B4" s="154" t="s">
        <v>35</v>
      </c>
      <c r="C4" s="155">
        <v>4.6760748202424127E-3</v>
      </c>
      <c r="F4" s="2" t="s">
        <v>1</v>
      </c>
      <c r="G4" s="126">
        <v>2.3761326216559411</v>
      </c>
      <c r="H4" s="128">
        <v>1</v>
      </c>
      <c r="I4" s="129">
        <v>1</v>
      </c>
      <c r="J4" s="129">
        <v>2</v>
      </c>
      <c r="K4" s="129">
        <v>2</v>
      </c>
      <c r="L4" s="124">
        <v>5</v>
      </c>
      <c r="N4" s="1" t="s">
        <v>50</v>
      </c>
      <c r="O4" s="144">
        <v>40.939849624060152</v>
      </c>
      <c r="P4" s="145">
        <v>3.7212674543501612</v>
      </c>
      <c r="Q4" s="146">
        <v>3.244360902255639</v>
      </c>
    </row>
    <row r="5" spans="2:25">
      <c r="B5" s="154" t="s">
        <v>36</v>
      </c>
      <c r="C5" s="155">
        <v>3.6634404104728185E-3</v>
      </c>
      <c r="F5" s="2" t="s">
        <v>8</v>
      </c>
      <c r="G5" s="126">
        <v>2.3932428883087922</v>
      </c>
      <c r="H5" s="128">
        <v>1</v>
      </c>
      <c r="I5" s="129">
        <v>1</v>
      </c>
      <c r="J5" s="129">
        <v>2</v>
      </c>
      <c r="K5" s="129">
        <v>2</v>
      </c>
      <c r="L5" s="124">
        <v>5</v>
      </c>
      <c r="N5" s="3" t="s">
        <v>61</v>
      </c>
      <c r="O5" s="147">
        <v>12.548739222577163</v>
      </c>
      <c r="P5" s="148">
        <v>5.4331132824791473</v>
      </c>
      <c r="Q5" s="149">
        <v>4.2647358587499822</v>
      </c>
    </row>
    <row r="6" spans="2:25">
      <c r="B6" s="154" t="s">
        <v>37</v>
      </c>
      <c r="C6" s="155">
        <v>3.6279890176315077E-3</v>
      </c>
      <c r="F6" s="2" t="s">
        <v>6</v>
      </c>
      <c r="G6" s="126">
        <v>39.34994145960713</v>
      </c>
      <c r="H6" s="128">
        <v>27</v>
      </c>
      <c r="I6" s="129">
        <v>34</v>
      </c>
      <c r="J6" s="129">
        <v>39</v>
      </c>
      <c r="K6" s="129">
        <v>44</v>
      </c>
      <c r="L6" s="124">
        <v>51</v>
      </c>
      <c r="N6" s="2" t="s">
        <v>62</v>
      </c>
      <c r="O6" s="128">
        <v>1</v>
      </c>
      <c r="P6" s="129">
        <v>1</v>
      </c>
      <c r="Q6" s="124">
        <v>1</v>
      </c>
    </row>
    <row r="7" spans="2:25">
      <c r="B7" s="154" t="s">
        <v>38</v>
      </c>
      <c r="C7" s="156">
        <v>5.4819253300000002</v>
      </c>
      <c r="F7" s="2" t="s">
        <v>13</v>
      </c>
      <c r="G7" s="126">
        <v>40.206224310041101</v>
      </c>
      <c r="H7" s="128">
        <v>28</v>
      </c>
      <c r="I7" s="129">
        <v>35</v>
      </c>
      <c r="J7" s="129">
        <v>40</v>
      </c>
      <c r="K7" s="129">
        <v>45</v>
      </c>
      <c r="L7" s="124">
        <v>52</v>
      </c>
      <c r="N7" s="140">
        <v>0.25</v>
      </c>
      <c r="O7" s="128">
        <v>34</v>
      </c>
      <c r="P7" s="129">
        <v>1</v>
      </c>
      <c r="Q7" s="124">
        <v>1</v>
      </c>
    </row>
    <row r="8" spans="2:25">
      <c r="B8" s="154" t="s">
        <v>39</v>
      </c>
      <c r="C8" s="156">
        <v>4.3960869740000001</v>
      </c>
      <c r="F8" s="2" t="s">
        <v>4</v>
      </c>
      <c r="G8" s="126">
        <v>3.6271367521367521</v>
      </c>
      <c r="H8" s="128">
        <v>1</v>
      </c>
      <c r="I8" s="129">
        <v>1</v>
      </c>
      <c r="J8" s="129">
        <v>2</v>
      </c>
      <c r="K8" s="129">
        <v>4</v>
      </c>
      <c r="L8" s="124">
        <v>7</v>
      </c>
      <c r="N8" s="140">
        <v>0.5</v>
      </c>
      <c r="O8" s="128">
        <v>41</v>
      </c>
      <c r="P8" s="129">
        <v>2</v>
      </c>
      <c r="Q8" s="124">
        <v>2</v>
      </c>
    </row>
    <row r="9" spans="2:25">
      <c r="B9" s="154" t="s">
        <v>40</v>
      </c>
      <c r="C9" s="156">
        <v>4.8030226049999998</v>
      </c>
      <c r="F9" s="2" t="s">
        <v>11</v>
      </c>
      <c r="G9" s="126">
        <v>3.244360902255639</v>
      </c>
      <c r="H9" s="128">
        <v>1</v>
      </c>
      <c r="I9" s="129">
        <v>1</v>
      </c>
      <c r="J9" s="129">
        <v>2</v>
      </c>
      <c r="K9" s="129">
        <v>4</v>
      </c>
      <c r="L9" s="124">
        <v>7</v>
      </c>
      <c r="N9" s="140">
        <v>0.75</v>
      </c>
      <c r="O9" s="128">
        <v>48</v>
      </c>
      <c r="P9" s="129">
        <v>4</v>
      </c>
      <c r="Q9" s="124">
        <v>4</v>
      </c>
    </row>
    <row r="10" spans="2:25">
      <c r="B10" s="154" t="s">
        <v>41</v>
      </c>
      <c r="C10" s="156">
        <v>6.7341243561547692</v>
      </c>
      <c r="F10" s="2" t="s">
        <v>5</v>
      </c>
      <c r="G10" s="126">
        <v>3.9078535162579668</v>
      </c>
      <c r="H10" s="128">
        <v>1</v>
      </c>
      <c r="I10" s="129">
        <v>1</v>
      </c>
      <c r="J10" s="129">
        <v>2</v>
      </c>
      <c r="K10" s="129">
        <v>4</v>
      </c>
      <c r="L10" s="124">
        <v>8</v>
      </c>
      <c r="N10" s="3" t="s">
        <v>63</v>
      </c>
      <c r="O10" s="130">
        <v>165</v>
      </c>
      <c r="P10" s="131">
        <v>107</v>
      </c>
      <c r="Q10" s="125">
        <v>102</v>
      </c>
      <c r="X10" s="51" t="s">
        <v>32</v>
      </c>
      <c r="Y10" s="49">
        <f>Y50</f>
        <v>195606</v>
      </c>
    </row>
    <row r="11" spans="2:25">
      <c r="B11" s="154" t="s">
        <v>42</v>
      </c>
      <c r="C11" s="156">
        <v>0.50971724080407044</v>
      </c>
      <c r="F11" s="2" t="s">
        <v>12</v>
      </c>
      <c r="G11" s="126">
        <v>3.9904316624986409</v>
      </c>
      <c r="H11" s="128">
        <v>1</v>
      </c>
      <c r="I11" s="129">
        <v>1</v>
      </c>
      <c r="J11" s="129">
        <v>2</v>
      </c>
      <c r="K11" s="129">
        <v>4</v>
      </c>
      <c r="L11" s="124">
        <v>8</v>
      </c>
      <c r="X11" s="51" t="s">
        <v>23</v>
      </c>
      <c r="Y11" s="49">
        <f>SUM(Y55,Y57:Y58,Y62,Y64:Y65)</f>
        <v>13455</v>
      </c>
    </row>
    <row r="12" spans="2:25">
      <c r="B12" s="154" t="s">
        <v>43</v>
      </c>
      <c r="C12" s="157">
        <v>11989</v>
      </c>
      <c r="F12" s="2" t="s">
        <v>10</v>
      </c>
      <c r="G12" s="126">
        <v>2.334161050017737</v>
      </c>
      <c r="H12" s="128">
        <v>1</v>
      </c>
      <c r="I12" s="129">
        <v>1</v>
      </c>
      <c r="J12" s="129">
        <v>2</v>
      </c>
      <c r="K12" s="129">
        <v>2</v>
      </c>
      <c r="L12" s="124">
        <v>5</v>
      </c>
      <c r="N12" s="164" t="s">
        <v>4</v>
      </c>
      <c r="O12" s="4" t="s">
        <v>57</v>
      </c>
      <c r="P12" s="5" t="s">
        <v>58</v>
      </c>
      <c r="Q12" s="6" t="s">
        <v>59</v>
      </c>
      <c r="X12" s="51" t="s">
        <v>29</v>
      </c>
      <c r="Y12" s="49">
        <v>8616</v>
      </c>
    </row>
    <row r="13" spans="2:25">
      <c r="B13" s="154" t="s">
        <v>44</v>
      </c>
      <c r="C13" s="158">
        <v>12111.623019182653</v>
      </c>
      <c r="F13" s="2" t="s">
        <v>3</v>
      </c>
      <c r="G13" s="126">
        <v>2.2344688254110783</v>
      </c>
      <c r="H13" s="128">
        <v>1</v>
      </c>
      <c r="I13" s="129">
        <v>1</v>
      </c>
      <c r="J13" s="129">
        <v>1</v>
      </c>
      <c r="K13" s="129">
        <v>2</v>
      </c>
      <c r="L13" s="124">
        <v>5</v>
      </c>
      <c r="N13" s="24" t="s">
        <v>60</v>
      </c>
      <c r="O13" s="141">
        <v>1872</v>
      </c>
      <c r="P13" s="142">
        <v>1872</v>
      </c>
      <c r="Q13" s="143">
        <v>1872</v>
      </c>
      <c r="X13" s="51" t="s">
        <v>27</v>
      </c>
      <c r="Y13" s="49">
        <v>17808</v>
      </c>
    </row>
    <row r="14" spans="2:25">
      <c r="B14" s="154" t="s">
        <v>45</v>
      </c>
      <c r="C14" s="162">
        <v>43104</v>
      </c>
      <c r="F14" s="2" t="s">
        <v>7</v>
      </c>
      <c r="G14" s="126">
        <v>2.1539937445790733</v>
      </c>
      <c r="H14" s="128">
        <v>1</v>
      </c>
      <c r="I14" s="129">
        <v>1</v>
      </c>
      <c r="J14" s="129">
        <v>1</v>
      </c>
      <c r="K14" s="129">
        <v>2</v>
      </c>
      <c r="L14" s="124">
        <v>4</v>
      </c>
      <c r="N14" s="1" t="s">
        <v>50</v>
      </c>
      <c r="O14" s="144">
        <v>4.4871794871794872</v>
      </c>
      <c r="P14" s="145">
        <v>41.251602564102562</v>
      </c>
      <c r="Q14" s="146">
        <v>3.6271367521367521</v>
      </c>
      <c r="X14" s="51" t="s">
        <v>30</v>
      </c>
      <c r="Y14" s="77">
        <f>Y13/Y12</f>
        <v>2.0668523676880222</v>
      </c>
    </row>
    <row r="15" spans="2:25">
      <c r="B15" s="154" t="s">
        <v>46</v>
      </c>
      <c r="C15" s="157">
        <v>53804</v>
      </c>
      <c r="F15" s="2" t="s">
        <v>0</v>
      </c>
      <c r="G15" s="126">
        <v>2.1722409752975547</v>
      </c>
      <c r="H15" s="128">
        <v>1</v>
      </c>
      <c r="I15" s="129">
        <v>1</v>
      </c>
      <c r="J15" s="129">
        <v>1</v>
      </c>
      <c r="K15" s="129">
        <v>2</v>
      </c>
      <c r="L15" s="124">
        <v>4</v>
      </c>
      <c r="N15" s="3" t="s">
        <v>61</v>
      </c>
      <c r="O15" s="147">
        <v>10.951564621936994</v>
      </c>
      <c r="P15" s="148">
        <v>12.879130056674368</v>
      </c>
      <c r="Q15" s="149">
        <v>5.7403157335638122</v>
      </c>
      <c r="X15" s="51" t="s">
        <v>28</v>
      </c>
      <c r="Y15" s="78">
        <v>9.5171773444753943E-3</v>
      </c>
    </row>
    <row r="16" spans="2:25">
      <c r="B16" s="154" t="s">
        <v>47</v>
      </c>
      <c r="C16" s="159">
        <v>0.97247482338794533</v>
      </c>
      <c r="F16" s="2" t="s">
        <v>2</v>
      </c>
      <c r="G16" s="126">
        <v>3.1374586366644608</v>
      </c>
      <c r="H16" s="128">
        <v>1</v>
      </c>
      <c r="I16" s="129">
        <v>1</v>
      </c>
      <c r="J16" s="129">
        <v>2</v>
      </c>
      <c r="K16" s="129">
        <v>3</v>
      </c>
      <c r="L16" s="124">
        <v>8</v>
      </c>
      <c r="N16" s="2" t="s">
        <v>62</v>
      </c>
      <c r="O16" s="128">
        <v>1</v>
      </c>
      <c r="P16" s="129">
        <v>2</v>
      </c>
      <c r="Q16" s="124">
        <v>1</v>
      </c>
      <c r="X16" s="51" t="s">
        <v>31</v>
      </c>
      <c r="Y16" s="49">
        <f>Y12*Y15</f>
        <v>82</v>
      </c>
    </row>
    <row r="17" spans="2:25">
      <c r="B17" s="160" t="s">
        <v>48</v>
      </c>
      <c r="C17" s="161">
        <v>184455</v>
      </c>
      <c r="F17" s="3" t="s">
        <v>9</v>
      </c>
      <c r="G17" s="127">
        <v>3.2236594248398847</v>
      </c>
      <c r="H17" s="130">
        <v>1</v>
      </c>
      <c r="I17" s="131">
        <v>1</v>
      </c>
      <c r="J17" s="131">
        <v>2</v>
      </c>
      <c r="K17" s="131">
        <v>3</v>
      </c>
      <c r="L17" s="125">
        <v>8</v>
      </c>
      <c r="N17" s="140">
        <v>0.25</v>
      </c>
      <c r="O17" s="128">
        <v>1</v>
      </c>
      <c r="P17" s="129">
        <v>34</v>
      </c>
      <c r="Q17" s="124">
        <v>1</v>
      </c>
      <c r="X17" s="51" t="s">
        <v>26</v>
      </c>
      <c r="Y17" s="73">
        <v>0.28512848551120828</v>
      </c>
    </row>
    <row r="18" spans="2:25">
      <c r="N18" s="140">
        <v>0.5</v>
      </c>
      <c r="O18" s="128">
        <v>2</v>
      </c>
      <c r="P18" s="129">
        <v>41</v>
      </c>
      <c r="Q18" s="124">
        <v>2</v>
      </c>
      <c r="X18" s="51" t="s">
        <v>21</v>
      </c>
      <c r="Y18" s="73">
        <v>2.6979777135782088</v>
      </c>
    </row>
    <row r="19" spans="2:25">
      <c r="B19" s="163" t="s">
        <v>64</v>
      </c>
      <c r="C19" s="151">
        <v>57597.319910869999</v>
      </c>
      <c r="N19" s="140">
        <v>0.75</v>
      </c>
      <c r="O19" s="128">
        <v>5</v>
      </c>
      <c r="P19" s="129">
        <v>48</v>
      </c>
      <c r="Q19" s="124">
        <v>4</v>
      </c>
      <c r="X19" s="51" t="s">
        <v>22</v>
      </c>
      <c r="Y19" s="72">
        <v>2531</v>
      </c>
    </row>
    <row r="20" spans="2:25">
      <c r="B20" s="163" t="s">
        <v>65</v>
      </c>
      <c r="C20" s="165">
        <v>2.0000000000000001E-4</v>
      </c>
      <c r="N20" s="3" t="s">
        <v>63</v>
      </c>
      <c r="O20" s="130">
        <v>226</v>
      </c>
      <c r="P20" s="131">
        <v>193</v>
      </c>
      <c r="Q20" s="125">
        <v>85</v>
      </c>
      <c r="X20" s="51" t="s">
        <v>24</v>
      </c>
      <c r="Y20" s="74">
        <f>Y19/(Y56+Y63)</f>
        <v>0.34018817204301077</v>
      </c>
    </row>
    <row r="21" spans="2:25">
      <c r="B21" s="163" t="s">
        <v>72</v>
      </c>
      <c r="C21" s="151">
        <v>0.5</v>
      </c>
    </row>
    <row r="23" spans="2:25">
      <c r="E23" s="121" t="s">
        <v>71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3"/>
    </row>
    <row r="25" spans="2:25">
      <c r="E25" s="38" t="s">
        <v>15</v>
      </c>
      <c r="F25" s="40" t="s">
        <v>0</v>
      </c>
      <c r="G25" s="41" t="s">
        <v>1</v>
      </c>
      <c r="H25" s="41" t="s">
        <v>2</v>
      </c>
      <c r="I25" s="41" t="s">
        <v>3</v>
      </c>
      <c r="J25" s="41" t="s">
        <v>4</v>
      </c>
      <c r="K25" s="41" t="s">
        <v>5</v>
      </c>
      <c r="L25" s="42" t="s">
        <v>6</v>
      </c>
      <c r="M25" s="40" t="s">
        <v>7</v>
      </c>
      <c r="N25" s="41" t="s">
        <v>8</v>
      </c>
      <c r="O25" s="41" t="s">
        <v>9</v>
      </c>
      <c r="P25" s="41" t="s">
        <v>10</v>
      </c>
      <c r="Q25" s="41" t="s">
        <v>11</v>
      </c>
      <c r="R25" s="41" t="s">
        <v>12</v>
      </c>
      <c r="S25" s="42" t="s">
        <v>13</v>
      </c>
    </row>
    <row r="26" spans="2:25">
      <c r="E26" s="45" t="s">
        <v>14</v>
      </c>
      <c r="F26" s="170"/>
      <c r="G26" s="171"/>
      <c r="H26" s="171"/>
      <c r="I26" s="171"/>
      <c r="J26" s="171"/>
      <c r="K26" s="171"/>
      <c r="L26" s="172"/>
      <c r="M26" s="22"/>
      <c r="N26" s="22"/>
      <c r="O26" s="22"/>
      <c r="P26" s="22"/>
      <c r="Q26" s="22"/>
      <c r="R26" s="22"/>
      <c r="S26" s="23"/>
    </row>
    <row r="30" spans="2:25">
      <c r="B30" s="39" t="s">
        <v>15</v>
      </c>
      <c r="C30" s="39" t="s">
        <v>14</v>
      </c>
      <c r="E30" s="39" t="s">
        <v>20</v>
      </c>
      <c r="F30" s="40" t="s">
        <v>0</v>
      </c>
      <c r="G30" s="41" t="s">
        <v>1</v>
      </c>
      <c r="H30" s="41" t="s">
        <v>2</v>
      </c>
      <c r="I30" s="41" t="s">
        <v>3</v>
      </c>
      <c r="J30" s="41" t="s">
        <v>4</v>
      </c>
      <c r="K30" s="41" t="s">
        <v>5</v>
      </c>
      <c r="L30" s="42" t="s">
        <v>6</v>
      </c>
      <c r="M30" s="40" t="s">
        <v>7</v>
      </c>
      <c r="N30" s="41" t="s">
        <v>8</v>
      </c>
      <c r="O30" s="41" t="s">
        <v>9</v>
      </c>
      <c r="P30" s="41" t="s">
        <v>10</v>
      </c>
      <c r="Q30" s="41" t="s">
        <v>11</v>
      </c>
      <c r="R30" s="41" t="s">
        <v>12</v>
      </c>
      <c r="S30" s="42" t="s">
        <v>13</v>
      </c>
    </row>
    <row r="31" spans="2:25">
      <c r="B31" s="43" t="s">
        <v>0</v>
      </c>
      <c r="C31" s="25"/>
      <c r="E31" s="43" t="s">
        <v>0</v>
      </c>
      <c r="F31" s="54"/>
      <c r="G31" s="55"/>
      <c r="H31" s="55"/>
      <c r="I31" s="55"/>
      <c r="J31" s="55"/>
      <c r="K31" s="55"/>
      <c r="L31" s="56"/>
      <c r="M31" s="54"/>
      <c r="N31" s="55"/>
      <c r="O31" s="55"/>
      <c r="P31" s="55"/>
      <c r="Q31" s="55"/>
      <c r="R31" s="55"/>
      <c r="S31" s="56"/>
    </row>
    <row r="32" spans="2:25">
      <c r="B32" s="44" t="s">
        <v>1</v>
      </c>
      <c r="C32" s="26"/>
      <c r="E32" s="44" t="s">
        <v>1</v>
      </c>
      <c r="F32" s="57"/>
      <c r="G32" s="58"/>
      <c r="H32" s="58"/>
      <c r="I32" s="58"/>
      <c r="J32" s="58"/>
      <c r="K32" s="58"/>
      <c r="L32" s="59"/>
      <c r="M32" s="57"/>
      <c r="N32" s="58"/>
      <c r="O32" s="58"/>
      <c r="P32" s="58"/>
      <c r="Q32" s="58"/>
      <c r="R32" s="58"/>
      <c r="S32" s="59"/>
    </row>
    <row r="33" spans="2:19">
      <c r="B33" s="44" t="s">
        <v>2</v>
      </c>
      <c r="C33" s="26"/>
      <c r="E33" s="44" t="s">
        <v>2</v>
      </c>
      <c r="F33" s="57"/>
      <c r="G33" s="58"/>
      <c r="H33" s="58"/>
      <c r="I33" s="58"/>
      <c r="J33" s="58"/>
      <c r="K33" s="58"/>
      <c r="L33" s="59"/>
      <c r="M33" s="57"/>
      <c r="N33" s="58"/>
      <c r="O33" s="58"/>
      <c r="P33" s="58"/>
      <c r="Q33" s="58"/>
      <c r="R33" s="58"/>
      <c r="S33" s="59"/>
    </row>
    <row r="34" spans="2:19">
      <c r="B34" s="44" t="s">
        <v>3</v>
      </c>
      <c r="C34" s="26"/>
      <c r="E34" s="44" t="s">
        <v>3</v>
      </c>
      <c r="F34" s="57"/>
      <c r="G34" s="58"/>
      <c r="H34" s="58"/>
      <c r="I34" s="58"/>
      <c r="J34" s="58"/>
      <c r="K34" s="58"/>
      <c r="L34" s="59"/>
      <c r="M34" s="57"/>
      <c r="N34" s="58"/>
      <c r="O34" s="58"/>
      <c r="P34" s="58"/>
      <c r="Q34" s="58"/>
      <c r="R34" s="58"/>
      <c r="S34" s="59"/>
    </row>
    <row r="35" spans="2:19">
      <c r="B35" s="44" t="s">
        <v>4</v>
      </c>
      <c r="C35" s="26"/>
      <c r="E35" s="44" t="s">
        <v>4</v>
      </c>
      <c r="F35" s="57"/>
      <c r="G35" s="58"/>
      <c r="H35" s="58"/>
      <c r="I35" s="58"/>
      <c r="J35" s="58"/>
      <c r="K35" s="58"/>
      <c r="L35" s="59"/>
      <c r="M35" s="57"/>
      <c r="N35" s="58"/>
      <c r="O35" s="58"/>
      <c r="P35" s="58"/>
      <c r="Q35" s="58"/>
      <c r="R35" s="58"/>
      <c r="S35" s="59"/>
    </row>
    <row r="36" spans="2:19">
      <c r="B36" s="44" t="s">
        <v>5</v>
      </c>
      <c r="C36" s="26"/>
      <c r="E36" s="44" t="s">
        <v>5</v>
      </c>
      <c r="F36" s="57"/>
      <c r="G36" s="58"/>
      <c r="H36" s="58"/>
      <c r="I36" s="58"/>
      <c r="J36" s="58"/>
      <c r="K36" s="58"/>
      <c r="L36" s="59"/>
      <c r="M36" s="57"/>
      <c r="N36" s="58"/>
      <c r="O36" s="58"/>
      <c r="P36" s="58"/>
      <c r="Q36" s="58"/>
      <c r="R36" s="58"/>
      <c r="S36" s="59"/>
    </row>
    <row r="37" spans="2:19">
      <c r="B37" s="45" t="s">
        <v>6</v>
      </c>
      <c r="C37" s="27"/>
      <c r="E37" s="45" t="s">
        <v>6</v>
      </c>
      <c r="F37" s="60"/>
      <c r="G37" s="61"/>
      <c r="H37" s="61"/>
      <c r="I37" s="61"/>
      <c r="J37" s="61"/>
      <c r="K37" s="61"/>
      <c r="L37" s="62"/>
      <c r="M37" s="60"/>
      <c r="N37" s="61"/>
      <c r="O37" s="61"/>
      <c r="P37" s="61"/>
      <c r="Q37" s="61"/>
      <c r="R37" s="61"/>
      <c r="S37" s="62"/>
    </row>
    <row r="38" spans="2:19">
      <c r="B38" s="43" t="s">
        <v>7</v>
      </c>
      <c r="C38" s="8"/>
      <c r="E38" s="43" t="s">
        <v>7</v>
      </c>
      <c r="F38" s="63"/>
      <c r="G38" s="64"/>
      <c r="H38" s="64"/>
      <c r="I38" s="64"/>
      <c r="J38" s="64"/>
      <c r="K38" s="64"/>
      <c r="L38" s="65"/>
      <c r="M38" s="63"/>
      <c r="N38" s="64"/>
      <c r="O38" s="64"/>
      <c r="P38" s="64"/>
      <c r="Q38" s="64"/>
      <c r="R38" s="64"/>
      <c r="S38" s="65"/>
    </row>
    <row r="39" spans="2:19">
      <c r="B39" s="44" t="s">
        <v>8</v>
      </c>
      <c r="C39" s="9"/>
      <c r="E39" s="44" t="s">
        <v>8</v>
      </c>
      <c r="F39" s="66"/>
      <c r="G39" s="67"/>
      <c r="H39" s="67"/>
      <c r="I39" s="67"/>
      <c r="J39" s="67"/>
      <c r="K39" s="67"/>
      <c r="L39" s="68"/>
      <c r="M39" s="66"/>
      <c r="N39" s="67"/>
      <c r="O39" s="67"/>
      <c r="P39" s="67"/>
      <c r="Q39" s="67"/>
      <c r="R39" s="67"/>
      <c r="S39" s="68"/>
    </row>
    <row r="40" spans="2:19">
      <c r="B40" s="44" t="s">
        <v>9</v>
      </c>
      <c r="C40" s="9"/>
      <c r="E40" s="44" t="s">
        <v>9</v>
      </c>
      <c r="F40" s="66"/>
      <c r="G40" s="67"/>
      <c r="H40" s="67"/>
      <c r="I40" s="67"/>
      <c r="J40" s="67"/>
      <c r="K40" s="67"/>
      <c r="L40" s="68"/>
      <c r="M40" s="66"/>
      <c r="N40" s="67"/>
      <c r="O40" s="67"/>
      <c r="P40" s="67"/>
      <c r="Q40" s="67"/>
      <c r="R40" s="67"/>
      <c r="S40" s="68"/>
    </row>
    <row r="41" spans="2:19">
      <c r="B41" s="44" t="s">
        <v>10</v>
      </c>
      <c r="C41" s="9"/>
      <c r="E41" s="44" t="s">
        <v>10</v>
      </c>
      <c r="F41" s="66"/>
      <c r="G41" s="67"/>
      <c r="H41" s="67"/>
      <c r="I41" s="67"/>
      <c r="J41" s="67"/>
      <c r="K41" s="67"/>
      <c r="L41" s="68"/>
      <c r="M41" s="66"/>
      <c r="N41" s="67"/>
      <c r="O41" s="67"/>
      <c r="P41" s="67"/>
      <c r="Q41" s="67"/>
      <c r="R41" s="67"/>
      <c r="S41" s="68"/>
    </row>
    <row r="42" spans="2:19">
      <c r="B42" s="44" t="s">
        <v>11</v>
      </c>
      <c r="C42" s="9"/>
      <c r="E42" s="44" t="s">
        <v>11</v>
      </c>
      <c r="F42" s="66"/>
      <c r="G42" s="67"/>
      <c r="H42" s="67"/>
      <c r="I42" s="67"/>
      <c r="J42" s="67"/>
      <c r="K42" s="67"/>
      <c r="L42" s="68"/>
      <c r="M42" s="66"/>
      <c r="N42" s="67"/>
      <c r="O42" s="67"/>
      <c r="P42" s="67"/>
      <c r="Q42" s="67"/>
      <c r="R42" s="67"/>
      <c r="S42" s="68"/>
    </row>
    <row r="43" spans="2:19">
      <c r="B43" s="44" t="s">
        <v>12</v>
      </c>
      <c r="C43" s="9"/>
      <c r="E43" s="44" t="s">
        <v>12</v>
      </c>
      <c r="F43" s="66"/>
      <c r="G43" s="67"/>
      <c r="H43" s="67"/>
      <c r="I43" s="67"/>
      <c r="J43" s="67"/>
      <c r="K43" s="67"/>
      <c r="L43" s="68"/>
      <c r="M43" s="66"/>
      <c r="N43" s="67"/>
      <c r="O43" s="67"/>
      <c r="P43" s="67"/>
      <c r="Q43" s="67"/>
      <c r="R43" s="67"/>
      <c r="S43" s="68"/>
    </row>
    <row r="44" spans="2:19">
      <c r="B44" s="45" t="s">
        <v>13</v>
      </c>
      <c r="C44" s="10"/>
      <c r="E44" s="45" t="s">
        <v>13</v>
      </c>
      <c r="F44" s="69"/>
      <c r="G44" s="70"/>
      <c r="H44" s="70"/>
      <c r="I44" s="70"/>
      <c r="J44" s="70"/>
      <c r="K44" s="70"/>
      <c r="L44" s="71"/>
      <c r="M44" s="69"/>
      <c r="N44" s="70"/>
      <c r="O44" s="70"/>
      <c r="P44" s="70"/>
      <c r="Q44" s="70"/>
      <c r="R44" s="70"/>
      <c r="S44" s="71"/>
    </row>
    <row r="47" spans="2:19">
      <c r="E47" s="20"/>
    </row>
    <row r="48" spans="2:19">
      <c r="E48" s="20"/>
    </row>
    <row r="49" spans="2:25">
      <c r="E49" s="38" t="s">
        <v>15</v>
      </c>
      <c r="F49" s="4" t="s">
        <v>0</v>
      </c>
      <c r="G49" s="5" t="s">
        <v>1</v>
      </c>
      <c r="H49" s="5" t="s">
        <v>2</v>
      </c>
      <c r="I49" s="5" t="s">
        <v>3</v>
      </c>
      <c r="J49" s="5" t="s">
        <v>4</v>
      </c>
      <c r="K49" s="5" t="s">
        <v>5</v>
      </c>
      <c r="L49" s="6" t="s">
        <v>6</v>
      </c>
      <c r="M49" s="4" t="s">
        <v>7</v>
      </c>
      <c r="N49" s="5" t="s">
        <v>8</v>
      </c>
      <c r="O49" s="5" t="s">
        <v>9</v>
      </c>
      <c r="P49" s="5" t="s">
        <v>10</v>
      </c>
      <c r="Q49" s="5" t="s">
        <v>11</v>
      </c>
      <c r="R49" s="5" t="s">
        <v>12</v>
      </c>
      <c r="S49" s="6" t="s">
        <v>13</v>
      </c>
      <c r="U49" s="166"/>
      <c r="V49" s="167"/>
      <c r="X49" s="168"/>
      <c r="Y49" s="169"/>
    </row>
    <row r="50" spans="2:25">
      <c r="E50" s="45" t="s">
        <v>14</v>
      </c>
      <c r="F50" s="21">
        <f>C53</f>
        <v>0.21862419966267599</v>
      </c>
      <c r="G50" s="22">
        <f>C54</f>
        <v>0.154900696283582</v>
      </c>
      <c r="H50" s="22">
        <f>C55</f>
        <v>6.55620714987417E-2</v>
      </c>
      <c r="I50" s="22">
        <f>C56</f>
        <v>0</v>
      </c>
      <c r="J50" s="22">
        <f>C57</f>
        <v>0</v>
      </c>
      <c r="K50" s="22">
        <f>C58</f>
        <v>0</v>
      </c>
      <c r="L50" s="23">
        <f>C59</f>
        <v>0</v>
      </c>
      <c r="M50" s="21">
        <f>C60</f>
        <v>0.21119454585664399</v>
      </c>
      <c r="N50" s="22">
        <f>C61</f>
        <v>0.14980854617629499</v>
      </c>
      <c r="O50" s="22">
        <f>C62</f>
        <v>5.5110818809721199E-2</v>
      </c>
      <c r="P50" s="22">
        <f>C63</f>
        <v>0</v>
      </c>
      <c r="Q50" s="22">
        <f>C64</f>
        <v>0</v>
      </c>
      <c r="R50" s="22">
        <f>C65</f>
        <v>0</v>
      </c>
      <c r="S50" s="23">
        <f>C66</f>
        <v>0</v>
      </c>
      <c r="V50" s="53">
        <f>Y50/Y2</f>
        <v>5.8740540540540538</v>
      </c>
      <c r="X50" s="52" t="s">
        <v>19</v>
      </c>
      <c r="Y50" s="50">
        <f>SUM(Y53:Y66)</f>
        <v>195606</v>
      </c>
    </row>
    <row r="52" spans="2:25">
      <c r="B52" s="39" t="s">
        <v>15</v>
      </c>
      <c r="C52" s="39" t="s">
        <v>14</v>
      </c>
      <c r="E52" s="39" t="s">
        <v>15</v>
      </c>
      <c r="F52" s="40" t="s">
        <v>0</v>
      </c>
      <c r="G52" s="41" t="s">
        <v>1</v>
      </c>
      <c r="H52" s="41" t="s">
        <v>2</v>
      </c>
      <c r="I52" s="41" t="s">
        <v>3</v>
      </c>
      <c r="J52" s="41" t="s">
        <v>4</v>
      </c>
      <c r="K52" s="41" t="s">
        <v>5</v>
      </c>
      <c r="L52" s="42" t="s">
        <v>6</v>
      </c>
      <c r="M52" s="40" t="s">
        <v>7</v>
      </c>
      <c r="N52" s="41" t="s">
        <v>8</v>
      </c>
      <c r="O52" s="41" t="s">
        <v>9</v>
      </c>
      <c r="P52" s="41" t="s">
        <v>10</v>
      </c>
      <c r="Q52" s="41" t="s">
        <v>11</v>
      </c>
      <c r="R52" s="41" t="s">
        <v>12</v>
      </c>
      <c r="S52" s="42" t="s">
        <v>13</v>
      </c>
      <c r="U52" s="39" t="s">
        <v>15</v>
      </c>
      <c r="V52" s="39" t="s">
        <v>17</v>
      </c>
      <c r="X52" s="39" t="s">
        <v>15</v>
      </c>
      <c r="Y52" s="39" t="s">
        <v>18</v>
      </c>
    </row>
    <row r="53" spans="2:25">
      <c r="B53" s="43" t="s">
        <v>0</v>
      </c>
      <c r="C53" s="25">
        <v>0.21862419966267599</v>
      </c>
      <c r="E53" s="43" t="s">
        <v>0</v>
      </c>
      <c r="F53" s="28">
        <v>0.35618403369552398</v>
      </c>
      <c r="G53" s="30">
        <v>0.24228966478922701</v>
      </c>
      <c r="H53" s="30">
        <v>0.56004735994374399</v>
      </c>
      <c r="I53" s="30">
        <v>0.89371023217827805</v>
      </c>
      <c r="J53" s="30">
        <v>1.71716333166104</v>
      </c>
      <c r="K53" s="30">
        <v>0.80007642573923798</v>
      </c>
      <c r="L53" s="32">
        <v>0.28542029124245899</v>
      </c>
      <c r="M53" s="28">
        <v>7.55592952703795E-3</v>
      </c>
      <c r="N53" s="30">
        <v>9.9785631653357798E-2</v>
      </c>
      <c r="O53" s="30">
        <v>0.263102784603159</v>
      </c>
      <c r="P53" s="30">
        <v>3.1434569855584099E-2</v>
      </c>
      <c r="Q53" s="30">
        <v>8.1577161318061905E-2</v>
      </c>
      <c r="R53" s="30">
        <v>8.55001907237255E-2</v>
      </c>
      <c r="S53" s="32">
        <v>0.10014156804192401</v>
      </c>
      <c r="U53" s="43" t="s">
        <v>0</v>
      </c>
      <c r="V53" s="8">
        <v>1.1545751351801186</v>
      </c>
      <c r="X53" s="43" t="s">
        <v>0</v>
      </c>
      <c r="Y53" s="46">
        <v>38678</v>
      </c>
    </row>
    <row r="54" spans="2:25">
      <c r="B54" s="44" t="s">
        <v>1</v>
      </c>
      <c r="C54" s="26">
        <v>0.154900696283582</v>
      </c>
      <c r="E54" s="44" t="s">
        <v>1</v>
      </c>
      <c r="F54" s="31">
        <v>0.28501352959330001</v>
      </c>
      <c r="G54" s="29">
        <v>0.35376247277709899</v>
      </c>
      <c r="H54" s="29">
        <v>0.33387696257461602</v>
      </c>
      <c r="I54" s="29">
        <v>0.48530069792089497</v>
      </c>
      <c r="J54" s="29">
        <v>1.19122538382635</v>
      </c>
      <c r="K54" s="29">
        <v>0.391992045733143</v>
      </c>
      <c r="L54" s="33">
        <v>0.15484814057558199</v>
      </c>
      <c r="M54" s="31">
        <v>0.142265334423922</v>
      </c>
      <c r="N54" s="29">
        <v>7.5983571022609601E-3</v>
      </c>
      <c r="O54" s="29">
        <v>9.6877814125152395E-2</v>
      </c>
      <c r="P54" s="29">
        <v>4.9123310718494399E-2</v>
      </c>
      <c r="Q54" s="29">
        <v>0.58721333774906803</v>
      </c>
      <c r="R54" s="29">
        <v>0.30995731985830099</v>
      </c>
      <c r="S54" s="33">
        <v>3.46055901343406E-2</v>
      </c>
      <c r="U54" s="44" t="s">
        <v>1</v>
      </c>
      <c r="V54" s="9">
        <v>1.4017953594141639</v>
      </c>
      <c r="X54" s="44" t="s">
        <v>1</v>
      </c>
      <c r="Y54" s="47">
        <v>47581</v>
      </c>
    </row>
    <row r="55" spans="2:25">
      <c r="B55" s="44" t="s">
        <v>2</v>
      </c>
      <c r="C55" s="26">
        <v>6.55620714987417E-2</v>
      </c>
      <c r="E55" s="44" t="s">
        <v>2</v>
      </c>
      <c r="F55" s="31">
        <v>6.75704579751925E-3</v>
      </c>
      <c r="G55" s="29">
        <v>6.6346965834635004E-3</v>
      </c>
      <c r="H55" s="29">
        <v>0.31325832393811398</v>
      </c>
      <c r="I55" s="29">
        <v>2.3373523062853501E-4</v>
      </c>
      <c r="J55" s="29">
        <v>1.9402585462811602E-2</v>
      </c>
      <c r="K55" s="29">
        <v>9.4149287383684895E-4</v>
      </c>
      <c r="L55" s="33">
        <v>3.6734112237707097E-8</v>
      </c>
      <c r="M55" s="31">
        <v>7.0708551025830298E-3</v>
      </c>
      <c r="N55" s="29">
        <v>1.47435889468141E-3</v>
      </c>
      <c r="O55" s="29">
        <v>1.5863897098768599E-2</v>
      </c>
      <c r="P55" s="29">
        <v>6.77512485591059E-2</v>
      </c>
      <c r="Q55" s="29">
        <v>0.43311881486259202</v>
      </c>
      <c r="R55" s="29">
        <v>5.8772888182703098E-2</v>
      </c>
      <c r="S55" s="33">
        <v>4.2609267109083602E-5</v>
      </c>
      <c r="U55" s="44" t="s">
        <v>2</v>
      </c>
      <c r="V55" s="9">
        <v>0.12135801499416118</v>
      </c>
      <c r="X55" s="44" t="s">
        <v>2</v>
      </c>
      <c r="Y55" s="47">
        <v>4199</v>
      </c>
    </row>
    <row r="56" spans="2:25">
      <c r="B56" s="44" t="s">
        <v>3</v>
      </c>
      <c r="C56" s="26">
        <v>0</v>
      </c>
      <c r="E56" s="44" t="s">
        <v>3</v>
      </c>
      <c r="F56" s="31">
        <v>5.7345302524721697E-3</v>
      </c>
      <c r="G56" s="29">
        <v>5.1180958855728499E-3</v>
      </c>
      <c r="H56" s="29">
        <v>2.6390631013328801E-2</v>
      </c>
      <c r="I56" s="29">
        <v>5.8252727050100199E-6</v>
      </c>
      <c r="J56" s="29">
        <v>5.7398922045005596E-3</v>
      </c>
      <c r="K56" s="29">
        <v>0.69611519958566004</v>
      </c>
      <c r="L56" s="33">
        <v>0.19244419496966</v>
      </c>
      <c r="M56" s="31">
        <v>7.1654679904157095E-4</v>
      </c>
      <c r="N56" s="29">
        <v>3.9894548631033E-4</v>
      </c>
      <c r="O56" s="29">
        <v>3.4959783901487802E-4</v>
      </c>
      <c r="P56" s="29">
        <v>2.83118755005413E-5</v>
      </c>
      <c r="Q56" s="29">
        <v>4.9037548120675005E-4</v>
      </c>
      <c r="R56" s="29">
        <v>0.26682485324864103</v>
      </c>
      <c r="S56" s="33">
        <v>0.53016591423704995</v>
      </c>
      <c r="U56" s="44" t="s">
        <v>3</v>
      </c>
      <c r="V56" s="9">
        <v>0.11001246842034405</v>
      </c>
      <c r="X56" s="44" t="s">
        <v>3</v>
      </c>
      <c r="Y56" s="47">
        <v>3692</v>
      </c>
    </row>
    <row r="57" spans="2:25">
      <c r="B57" s="44" t="s">
        <v>4</v>
      </c>
      <c r="C57" s="26">
        <v>0</v>
      </c>
      <c r="E57" s="44" t="s">
        <v>4</v>
      </c>
      <c r="F57" s="31">
        <v>7.8574479591396397E-4</v>
      </c>
      <c r="G57" s="29">
        <v>1.40793557472051E-3</v>
      </c>
      <c r="H57" s="29">
        <v>4.3827212955863698E-2</v>
      </c>
      <c r="I57" s="29">
        <v>6.7556032684636995E-5</v>
      </c>
      <c r="J57" s="29">
        <v>1.13105968811119E-2</v>
      </c>
      <c r="K57" s="29">
        <v>8.4328357605653704E-5</v>
      </c>
      <c r="L57" s="33">
        <v>2.9419683405156399E-8</v>
      </c>
      <c r="M57" s="31">
        <v>2.9400654386158801E-4</v>
      </c>
      <c r="N57" s="29">
        <v>1.56370137429654E-4</v>
      </c>
      <c r="O57" s="29">
        <v>5.6877771849545803E-4</v>
      </c>
      <c r="P57" s="29">
        <v>3.0360746820776101E-2</v>
      </c>
      <c r="Q57" s="29">
        <v>4.9041509868171899E-2</v>
      </c>
      <c r="R57" s="29">
        <v>3.9274631026661698E-3</v>
      </c>
      <c r="S57" s="33">
        <v>1.22212451139842E-17</v>
      </c>
      <c r="U57" s="44" t="s">
        <v>4</v>
      </c>
      <c r="V57" s="9">
        <v>2.3729921727735134E-2</v>
      </c>
      <c r="X57" s="44" t="s">
        <v>4</v>
      </c>
      <c r="Y57" s="47">
        <v>803</v>
      </c>
    </row>
    <row r="58" spans="2:25">
      <c r="B58" s="44" t="s">
        <v>5</v>
      </c>
      <c r="C58" s="26">
        <v>0</v>
      </c>
      <c r="E58" s="44" t="s">
        <v>5</v>
      </c>
      <c r="F58" s="31">
        <v>5.0906601663739601E-3</v>
      </c>
      <c r="G58" s="29">
        <v>1.12299852964862E-2</v>
      </c>
      <c r="H58" s="29">
        <v>0.175523295728295</v>
      </c>
      <c r="I58" s="29">
        <v>5.6977759714126102E-5</v>
      </c>
      <c r="J58" s="29">
        <v>8.5584228771813805E-4</v>
      </c>
      <c r="K58" s="29">
        <v>9.5227280058565896E-4</v>
      </c>
      <c r="L58" s="33">
        <v>1.6031409776487599E-6</v>
      </c>
      <c r="M58" s="31">
        <v>3.9621026154965301E-4</v>
      </c>
      <c r="N58" s="29">
        <v>2.2832369168464099E-4</v>
      </c>
      <c r="O58" s="29">
        <v>5.2142255105127298E-4</v>
      </c>
      <c r="P58" s="29">
        <v>0.16152935924304401</v>
      </c>
      <c r="Q58" s="29">
        <v>0.22031226176501001</v>
      </c>
      <c r="R58" s="29">
        <v>5.9416141419018199E-4</v>
      </c>
      <c r="S58" s="33">
        <v>7.3114422279210397E-5</v>
      </c>
      <c r="U58" s="44" t="s">
        <v>5</v>
      </c>
      <c r="V58" s="9">
        <v>6.1510966572736248E-2</v>
      </c>
      <c r="X58" s="44" t="s">
        <v>5</v>
      </c>
      <c r="Y58" s="47">
        <v>2031</v>
      </c>
    </row>
    <row r="59" spans="2:25">
      <c r="B59" s="45" t="s">
        <v>6</v>
      </c>
      <c r="C59" s="27">
        <v>0</v>
      </c>
      <c r="E59" s="45" t="s">
        <v>6</v>
      </c>
      <c r="F59" s="36">
        <v>2.49308488897189E-3</v>
      </c>
      <c r="G59" s="35">
        <v>1.29624184448856E-2</v>
      </c>
      <c r="H59" s="35">
        <v>4.32622666478664E-2</v>
      </c>
      <c r="I59" s="35">
        <v>6.3735775954456897E-6</v>
      </c>
      <c r="J59" s="35">
        <v>3.9586672169002001E-4</v>
      </c>
      <c r="K59" s="35">
        <v>3.3649872017392201E-6</v>
      </c>
      <c r="L59" s="34">
        <v>2.7198332092807599E-3</v>
      </c>
      <c r="M59" s="36">
        <v>3.5753670510515103E-20</v>
      </c>
      <c r="N59" s="35">
        <v>3.1923629259890897E-5</v>
      </c>
      <c r="O59" s="35">
        <v>9.5631649679495894E-21</v>
      </c>
      <c r="P59" s="35">
        <v>0.24758105296239799</v>
      </c>
      <c r="Q59" s="35">
        <v>0.158235192459215</v>
      </c>
      <c r="R59" s="35">
        <v>1.6861550029640002E-2</v>
      </c>
      <c r="S59" s="34">
        <v>1.7660910379183999E-25</v>
      </c>
      <c r="U59" s="45" t="s">
        <v>6</v>
      </c>
      <c r="V59" s="10">
        <v>4.9037702058958486E-2</v>
      </c>
      <c r="X59" s="45" t="s">
        <v>6</v>
      </c>
      <c r="Y59" s="48">
        <v>1677</v>
      </c>
    </row>
    <row r="60" spans="2:25">
      <c r="B60" s="43" t="s">
        <v>7</v>
      </c>
      <c r="C60" s="8">
        <v>0.21119454585664399</v>
      </c>
      <c r="E60" s="43" t="s">
        <v>7</v>
      </c>
      <c r="F60" s="11">
        <v>7.3911643269948101E-3</v>
      </c>
      <c r="G60" s="12">
        <v>0.101014331962193</v>
      </c>
      <c r="H60" s="12">
        <v>0.24596776194432299</v>
      </c>
      <c r="I60" s="12">
        <v>3.6862040867672301E-2</v>
      </c>
      <c r="J60" s="12">
        <v>9.6745543740249101E-2</v>
      </c>
      <c r="K60" s="12">
        <v>9.6487003047853306E-2</v>
      </c>
      <c r="L60" s="13">
        <v>0.11943835879301599</v>
      </c>
      <c r="M60" s="11">
        <v>0.35834174395901802</v>
      </c>
      <c r="N60" s="12">
        <v>0.24387069803658301</v>
      </c>
      <c r="O60" s="12">
        <v>0.56672998648746697</v>
      </c>
      <c r="P60" s="12">
        <v>0.89796723783387999</v>
      </c>
      <c r="Q60" s="12">
        <v>1.72919437986369</v>
      </c>
      <c r="R60" s="12">
        <v>0.80654174955553704</v>
      </c>
      <c r="S60" s="13">
        <v>0.26179838186055898</v>
      </c>
      <c r="U60" s="43" t="s">
        <v>7</v>
      </c>
      <c r="V60" s="8">
        <v>1.3006822643156493</v>
      </c>
      <c r="X60" s="43" t="s">
        <v>7</v>
      </c>
      <c r="Y60" s="46">
        <v>42878</v>
      </c>
    </row>
    <row r="61" spans="2:25">
      <c r="B61" s="44" t="s">
        <v>8</v>
      </c>
      <c r="C61" s="9">
        <v>0.14980854617629499</v>
      </c>
      <c r="E61" s="44" t="s">
        <v>8</v>
      </c>
      <c r="F61" s="14">
        <v>0.139351501313357</v>
      </c>
      <c r="G61" s="15">
        <v>7.40349603373768E-3</v>
      </c>
      <c r="H61" s="15">
        <v>9.7806437644045494E-2</v>
      </c>
      <c r="I61" s="15">
        <v>4.3528941675926101E-2</v>
      </c>
      <c r="J61" s="15">
        <v>0.57898598325325501</v>
      </c>
      <c r="K61" s="15">
        <v>0.29635163738866499</v>
      </c>
      <c r="L61" s="16">
        <v>4.0116501134928297E-2</v>
      </c>
      <c r="M61" s="14">
        <v>0.28463332187852602</v>
      </c>
      <c r="N61" s="15">
        <v>0.34977715871124199</v>
      </c>
      <c r="O61" s="15">
        <v>0.32112980236190197</v>
      </c>
      <c r="P61" s="15">
        <v>0.50366739477361</v>
      </c>
      <c r="Q61" s="15">
        <v>1.2433502655369999</v>
      </c>
      <c r="R61" s="15">
        <v>0.465852831105948</v>
      </c>
      <c r="S61" s="16">
        <v>0.17585987551624099</v>
      </c>
      <c r="U61" s="44" t="s">
        <v>8</v>
      </c>
      <c r="V61" s="9">
        <v>1.2582539332841332</v>
      </c>
      <c r="X61" s="44" t="s">
        <v>8</v>
      </c>
      <c r="Y61" s="47">
        <v>42240</v>
      </c>
    </row>
    <row r="62" spans="2:25">
      <c r="B62" s="44" t="s">
        <v>9</v>
      </c>
      <c r="C62" s="9">
        <v>5.5110818809721199E-2</v>
      </c>
      <c r="E62" s="44" t="s">
        <v>9</v>
      </c>
      <c r="F62" s="14">
        <v>7.6454425663834103E-3</v>
      </c>
      <c r="G62" s="15">
        <v>1.04192458994416E-3</v>
      </c>
      <c r="H62" s="15">
        <v>1.76319870883078E-2</v>
      </c>
      <c r="I62" s="15">
        <v>6.6280733159308797E-2</v>
      </c>
      <c r="J62" s="15">
        <v>0.42142405850325798</v>
      </c>
      <c r="K62" s="15">
        <v>5.1008283409249101E-2</v>
      </c>
      <c r="L62" s="16">
        <v>1.00400913085292E-4</v>
      </c>
      <c r="M62" s="14">
        <v>6.0782095767028498E-3</v>
      </c>
      <c r="N62" s="15">
        <v>6.8947002080318297E-3</v>
      </c>
      <c r="O62" s="15">
        <v>0.32776509727905401</v>
      </c>
      <c r="P62" s="15">
        <v>2.29924047701421E-4</v>
      </c>
      <c r="Q62" s="15">
        <v>1.7517437751723999E-2</v>
      </c>
      <c r="R62" s="15">
        <v>2.1977730971183699E-3</v>
      </c>
      <c r="S62" s="16">
        <v>5.4393697204111798E-5</v>
      </c>
      <c r="U62" s="44" t="s">
        <v>9</v>
      </c>
      <c r="V62" s="9">
        <v>0.10817500228292913</v>
      </c>
      <c r="X62" s="44" t="s">
        <v>9</v>
      </c>
      <c r="Y62" s="47">
        <v>3593</v>
      </c>
    </row>
    <row r="63" spans="2:25">
      <c r="B63" s="44" t="s">
        <v>10</v>
      </c>
      <c r="C63" s="9">
        <v>0</v>
      </c>
      <c r="E63" s="44" t="s">
        <v>10</v>
      </c>
      <c r="F63" s="14">
        <v>4.6800615563838801E-4</v>
      </c>
      <c r="G63" s="15">
        <v>3.3052872192671997E-4</v>
      </c>
      <c r="H63" s="15">
        <v>3.5321772571397602E-4</v>
      </c>
      <c r="I63" s="15">
        <v>1.20640642904436E-5</v>
      </c>
      <c r="J63" s="15">
        <v>1.75103027658298E-3</v>
      </c>
      <c r="K63" s="15">
        <v>0.27040836019681702</v>
      </c>
      <c r="L63" s="16">
        <v>0.53180583354495103</v>
      </c>
      <c r="M63" s="14">
        <v>5.4450522607189999E-3</v>
      </c>
      <c r="N63" s="15">
        <v>5.0257591007330299E-3</v>
      </c>
      <c r="O63" s="15">
        <v>3.2585064980383403E-2</v>
      </c>
      <c r="P63" s="15">
        <v>2.3442128748832999E-5</v>
      </c>
      <c r="Q63" s="15">
        <v>9.8406628836107402E-3</v>
      </c>
      <c r="R63" s="15">
        <v>0.70719818039133897</v>
      </c>
      <c r="S63" s="16">
        <v>0.18032275980429599</v>
      </c>
      <c r="U63" s="44" t="s">
        <v>10</v>
      </c>
      <c r="V63" s="9">
        <v>0.10972977861672661</v>
      </c>
      <c r="X63" s="44" t="s">
        <v>10</v>
      </c>
      <c r="Y63" s="47">
        <v>3748</v>
      </c>
    </row>
    <row r="64" spans="2:25">
      <c r="B64" s="44" t="s">
        <v>11</v>
      </c>
      <c r="C64" s="9">
        <v>0</v>
      </c>
      <c r="E64" s="44" t="s">
        <v>11</v>
      </c>
      <c r="F64" s="14">
        <v>2.7978048651509799E-4</v>
      </c>
      <c r="G64" s="15">
        <v>1.5044197659823001E-4</v>
      </c>
      <c r="H64" s="15">
        <v>7.5506621245402495E-4</v>
      </c>
      <c r="I64" s="15">
        <v>3.1338661858948097E-2</v>
      </c>
      <c r="J64" s="15">
        <v>4.8528677204289203E-2</v>
      </c>
      <c r="K64" s="15">
        <v>5.2539698918377901E-3</v>
      </c>
      <c r="L64" s="16">
        <v>3.6185690612255602E-5</v>
      </c>
      <c r="M64" s="14">
        <v>6.6752711497842403E-4</v>
      </c>
      <c r="N64" s="15">
        <v>1.3277386772911899E-3</v>
      </c>
      <c r="O64" s="15">
        <v>4.54515113469523E-2</v>
      </c>
      <c r="P64" s="15">
        <v>7.5198707705764902E-5</v>
      </c>
      <c r="Q64" s="15">
        <v>8.3918701808823205E-3</v>
      </c>
      <c r="R64" s="15">
        <v>1.6519929137677E-4</v>
      </c>
      <c r="S64" s="16">
        <v>1.8248913013050101E-5</v>
      </c>
      <c r="U64" s="44" t="s">
        <v>11</v>
      </c>
      <c r="V64" s="9">
        <v>2.4188497548199381E-2</v>
      </c>
      <c r="X64" s="44" t="s">
        <v>11</v>
      </c>
      <c r="Y64" s="47">
        <v>773</v>
      </c>
    </row>
    <row r="65" spans="2:25">
      <c r="B65" s="44" t="s">
        <v>12</v>
      </c>
      <c r="C65" s="9">
        <v>0</v>
      </c>
      <c r="E65" s="44" t="s">
        <v>12</v>
      </c>
      <c r="F65" s="14">
        <v>5.8884182435408195E-4</v>
      </c>
      <c r="G65" s="15">
        <v>2.9354340397652102E-4</v>
      </c>
      <c r="H65" s="15">
        <v>5.6371553203186204E-4</v>
      </c>
      <c r="I65" s="15">
        <v>0.16461426952304301</v>
      </c>
      <c r="J65" s="15">
        <v>0.22172386509441899</v>
      </c>
      <c r="K65" s="15">
        <v>8.1502831461348704E-4</v>
      </c>
      <c r="L65" s="16">
        <v>3.8403385090784698E-5</v>
      </c>
      <c r="M65" s="14">
        <v>5.2244936984887297E-3</v>
      </c>
      <c r="N65" s="15">
        <v>1.0812146846203401E-2</v>
      </c>
      <c r="O65" s="15">
        <v>0.186292801058274</v>
      </c>
      <c r="P65" s="15">
        <v>1.71631851877759E-4</v>
      </c>
      <c r="Q65" s="15">
        <v>7.25325431426973E-4</v>
      </c>
      <c r="R65" s="15">
        <v>2.4457457885353E-4</v>
      </c>
      <c r="S65" s="16">
        <v>4.6014781231521603E-16</v>
      </c>
      <c r="U65" s="44" t="s">
        <v>12</v>
      </c>
      <c r="V65" s="9">
        <v>6.2897615441351709E-2</v>
      </c>
      <c r="X65" s="44" t="s">
        <v>12</v>
      </c>
      <c r="Y65" s="47">
        <v>2056</v>
      </c>
    </row>
    <row r="66" spans="2:25">
      <c r="B66" s="45" t="s">
        <v>13</v>
      </c>
      <c r="C66" s="10">
        <v>0</v>
      </c>
      <c r="E66" s="45" t="s">
        <v>13</v>
      </c>
      <c r="F66" s="17">
        <v>2.1412608720127399E-14</v>
      </c>
      <c r="G66" s="18">
        <v>4.2922693686631201E-5</v>
      </c>
      <c r="H66" s="18">
        <v>2.8009929254137701E-5</v>
      </c>
      <c r="I66" s="18">
        <v>0.25891518685950798</v>
      </c>
      <c r="J66" s="18">
        <v>0.16274771359711299</v>
      </c>
      <c r="K66" s="18">
        <v>1.9411754808730999E-2</v>
      </c>
      <c r="L66" s="19">
        <v>4.5702702949894303E-24</v>
      </c>
      <c r="M66" s="17">
        <v>2.3696751046791199E-3</v>
      </c>
      <c r="N66" s="18">
        <v>1.2212923170747399E-2</v>
      </c>
      <c r="O66" s="18">
        <v>4.46361740873834E-2</v>
      </c>
      <c r="P66" s="18">
        <v>1.3577134380230401E-4</v>
      </c>
      <c r="Q66" s="18">
        <v>8.0740361624109997E-4</v>
      </c>
      <c r="R66" s="18">
        <v>2.4614066678581698E-16</v>
      </c>
      <c r="S66" s="19">
        <v>2.2005302367896998E-3</v>
      </c>
      <c r="U66" s="45" t="s">
        <v>13</v>
      </c>
      <c r="V66" s="10">
        <v>4.8793949059702343E-2</v>
      </c>
      <c r="X66" s="45" t="s">
        <v>13</v>
      </c>
      <c r="Y66" s="48">
        <v>1657</v>
      </c>
    </row>
    <row r="68" spans="2:25">
      <c r="E68" s="121" t="s">
        <v>33</v>
      </c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3"/>
    </row>
    <row r="69" spans="2:25"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</row>
    <row r="70" spans="2:25">
      <c r="E70" s="38" t="s">
        <v>15</v>
      </c>
      <c r="F70" s="40" t="s">
        <v>0</v>
      </c>
      <c r="G70" s="41" t="s">
        <v>1</v>
      </c>
      <c r="H70" s="41" t="s">
        <v>2</v>
      </c>
      <c r="I70" s="41" t="s">
        <v>3</v>
      </c>
      <c r="J70" s="41" t="s">
        <v>4</v>
      </c>
      <c r="K70" s="41" t="s">
        <v>5</v>
      </c>
      <c r="L70" s="42" t="s">
        <v>6</v>
      </c>
      <c r="M70" s="40" t="s">
        <v>7</v>
      </c>
      <c r="N70" s="41" t="s">
        <v>8</v>
      </c>
      <c r="O70" s="41" t="s">
        <v>9</v>
      </c>
      <c r="P70" s="41" t="s">
        <v>10</v>
      </c>
      <c r="Q70" s="41" t="s">
        <v>11</v>
      </c>
      <c r="R70" s="41" t="s">
        <v>12</v>
      </c>
      <c r="S70" s="42" t="s">
        <v>13</v>
      </c>
    </row>
    <row r="71" spans="2:25">
      <c r="E71" s="45" t="s">
        <v>14</v>
      </c>
      <c r="F71" s="21">
        <f>C74</f>
        <v>0.21862419966267599</v>
      </c>
      <c r="G71" s="22">
        <f>C75</f>
        <v>0.154900696283582</v>
      </c>
      <c r="H71" s="22">
        <f>C76</f>
        <v>6.55620714987417E-2</v>
      </c>
      <c r="I71" s="22">
        <f>C77</f>
        <v>0</v>
      </c>
      <c r="J71" s="22">
        <f>C78</f>
        <v>0</v>
      </c>
      <c r="K71" s="22">
        <f>C79</f>
        <v>0</v>
      </c>
      <c r="L71" s="23">
        <f>C80</f>
        <v>0</v>
      </c>
      <c r="M71" s="21">
        <f>C81</f>
        <v>0.21119454585664399</v>
      </c>
      <c r="N71" s="22">
        <f>C82</f>
        <v>0.14980854617629499</v>
      </c>
      <c r="O71" s="22">
        <f>C83</f>
        <v>5.5110818809721199E-2</v>
      </c>
      <c r="P71" s="22">
        <f>C84</f>
        <v>0</v>
      </c>
      <c r="Q71" s="22">
        <f>C85</f>
        <v>0</v>
      </c>
      <c r="R71" s="22">
        <f>C86</f>
        <v>0</v>
      </c>
      <c r="S71" s="23">
        <f>C87</f>
        <v>0</v>
      </c>
    </row>
    <row r="73" spans="2:25">
      <c r="C73" s="7" t="s">
        <v>14</v>
      </c>
      <c r="F73" s="4" t="s">
        <v>0</v>
      </c>
      <c r="G73" s="5" t="s">
        <v>1</v>
      </c>
      <c r="H73" s="5" t="s">
        <v>2</v>
      </c>
      <c r="I73" s="5" t="s">
        <v>3</v>
      </c>
      <c r="J73" s="5" t="s">
        <v>4</v>
      </c>
      <c r="K73" s="5" t="s">
        <v>5</v>
      </c>
      <c r="L73" s="6" t="s">
        <v>6</v>
      </c>
      <c r="M73" s="4" t="s">
        <v>7</v>
      </c>
      <c r="N73" s="5" t="s">
        <v>8</v>
      </c>
      <c r="O73" s="5" t="s">
        <v>9</v>
      </c>
      <c r="P73" s="5" t="s">
        <v>10</v>
      </c>
      <c r="Q73" s="5" t="s">
        <v>11</v>
      </c>
      <c r="R73" s="5" t="s">
        <v>12</v>
      </c>
      <c r="S73" s="6" t="s">
        <v>13</v>
      </c>
    </row>
    <row r="74" spans="2:25">
      <c r="B74" s="1" t="s">
        <v>0</v>
      </c>
      <c r="C74" s="8">
        <v>0.21862419966267599</v>
      </c>
      <c r="E74" s="1" t="s">
        <v>0</v>
      </c>
      <c r="F74" s="11">
        <v>0.35618403369552398</v>
      </c>
      <c r="G74" s="12">
        <v>0.24228966478922701</v>
      </c>
      <c r="H74" s="12">
        <v>0.56004735994374399</v>
      </c>
      <c r="I74" s="12">
        <v>0.89371023217827805</v>
      </c>
      <c r="J74" s="12">
        <v>1.71716333166104</v>
      </c>
      <c r="K74" s="12">
        <v>0.80007642573923798</v>
      </c>
      <c r="L74" s="13">
        <v>0.28542029124245899</v>
      </c>
      <c r="M74" s="11">
        <v>7.55592952703795E-3</v>
      </c>
      <c r="N74" s="12">
        <v>9.9785631653357798E-2</v>
      </c>
      <c r="O74" s="12">
        <v>0.263102784603159</v>
      </c>
      <c r="P74" s="12">
        <v>3.1434569855584099E-2</v>
      </c>
      <c r="Q74" s="12">
        <v>8.1577161318061905E-2</v>
      </c>
      <c r="R74" s="12">
        <v>8.55001907237255E-2</v>
      </c>
      <c r="S74" s="13">
        <v>0.10014156804192401</v>
      </c>
    </row>
    <row r="75" spans="2:25">
      <c r="B75" s="2" t="s">
        <v>1</v>
      </c>
      <c r="C75" s="9">
        <v>0.154900696283582</v>
      </c>
      <c r="E75" s="2" t="s">
        <v>1</v>
      </c>
      <c r="F75" s="14">
        <v>0.28501352959330001</v>
      </c>
      <c r="G75" s="15">
        <v>0.35376247277709899</v>
      </c>
      <c r="H75" s="15">
        <v>0.33387696257461602</v>
      </c>
      <c r="I75" s="15">
        <v>0.48530069792089497</v>
      </c>
      <c r="J75" s="15">
        <v>1.19122538382635</v>
      </c>
      <c r="K75" s="15">
        <v>0.391992045733143</v>
      </c>
      <c r="L75" s="16">
        <v>0.15484814057558199</v>
      </c>
      <c r="M75" s="14">
        <v>0.142265334423922</v>
      </c>
      <c r="N75" s="15">
        <v>7.5983571022609601E-3</v>
      </c>
      <c r="O75" s="15">
        <v>9.6877814125152395E-2</v>
      </c>
      <c r="P75" s="15">
        <v>4.9123310718494399E-2</v>
      </c>
      <c r="Q75" s="15">
        <v>0.58721333774906803</v>
      </c>
      <c r="R75" s="15">
        <v>0.30995731985830099</v>
      </c>
      <c r="S75" s="16">
        <v>3.46055901343406E-2</v>
      </c>
    </row>
    <row r="76" spans="2:25">
      <c r="B76" s="2" t="s">
        <v>2</v>
      </c>
      <c r="C76" s="9">
        <v>6.55620714987417E-2</v>
      </c>
      <c r="E76" s="2" t="s">
        <v>2</v>
      </c>
      <c r="F76" s="14">
        <v>6.75704579751925E-3</v>
      </c>
      <c r="G76" s="15">
        <v>6.6346965834635004E-3</v>
      </c>
      <c r="H76" s="15">
        <v>0.31325832393811398</v>
      </c>
      <c r="I76" s="15">
        <v>2.3373523062853501E-4</v>
      </c>
      <c r="J76" s="15">
        <v>1.9402585462811602E-2</v>
      </c>
      <c r="K76" s="15">
        <v>9.4149287383684895E-4</v>
      </c>
      <c r="L76" s="16">
        <v>3.6734112237707097E-8</v>
      </c>
      <c r="M76" s="14">
        <v>7.0708551025830298E-3</v>
      </c>
      <c r="N76" s="15">
        <v>1.47435889468141E-3</v>
      </c>
      <c r="O76" s="15">
        <v>1.5863897098768599E-2</v>
      </c>
      <c r="P76" s="15">
        <v>6.77512485591059E-2</v>
      </c>
      <c r="Q76" s="15">
        <v>0.43311881486259202</v>
      </c>
      <c r="R76" s="15">
        <v>5.8772888182703098E-2</v>
      </c>
      <c r="S76" s="16">
        <v>4.2609267109083602E-5</v>
      </c>
    </row>
    <row r="77" spans="2:25">
      <c r="B77" s="2" t="s">
        <v>3</v>
      </c>
      <c r="C77" s="9">
        <v>0</v>
      </c>
      <c r="E77" s="2" t="s">
        <v>3</v>
      </c>
      <c r="F77" s="14">
        <v>5.7345302524721697E-3</v>
      </c>
      <c r="G77" s="15">
        <v>5.1180958855728499E-3</v>
      </c>
      <c r="H77" s="15">
        <v>2.6390631013328801E-2</v>
      </c>
      <c r="I77" s="15">
        <v>5.8252727050100199E-6</v>
      </c>
      <c r="J77" s="15">
        <v>5.7398922045005596E-3</v>
      </c>
      <c r="K77" s="15">
        <v>0.69611519958566004</v>
      </c>
      <c r="L77" s="16">
        <v>0.19244419496966</v>
      </c>
      <c r="M77" s="14">
        <v>7.1654679904157095E-4</v>
      </c>
      <c r="N77" s="15">
        <v>3.9894548631033E-4</v>
      </c>
      <c r="O77" s="15">
        <v>3.4959783901487802E-4</v>
      </c>
      <c r="P77" s="15">
        <v>2.83118755005413E-5</v>
      </c>
      <c r="Q77" s="15">
        <v>4.9037548120675005E-4</v>
      </c>
      <c r="R77" s="15">
        <v>0.26682485324864103</v>
      </c>
      <c r="S77" s="16">
        <v>0.53016591423704995</v>
      </c>
    </row>
    <row r="78" spans="2:25">
      <c r="B78" s="2" t="s">
        <v>4</v>
      </c>
      <c r="C78" s="9">
        <v>0</v>
      </c>
      <c r="E78" s="2" t="s">
        <v>4</v>
      </c>
      <c r="F78" s="14">
        <v>7.8574479591396397E-4</v>
      </c>
      <c r="G78" s="15">
        <v>1.40793557472051E-3</v>
      </c>
      <c r="H78" s="15">
        <v>4.3827212955863698E-2</v>
      </c>
      <c r="I78" s="15">
        <v>6.7556032684636995E-5</v>
      </c>
      <c r="J78" s="15">
        <v>1.13105968811119E-2</v>
      </c>
      <c r="K78" s="15">
        <v>8.4328357605653704E-5</v>
      </c>
      <c r="L78" s="16">
        <v>2.9419683405156399E-8</v>
      </c>
      <c r="M78" s="14">
        <v>2.9400654386158801E-4</v>
      </c>
      <c r="N78" s="15">
        <v>1.56370137429654E-4</v>
      </c>
      <c r="O78" s="15">
        <v>5.6877771849545803E-4</v>
      </c>
      <c r="P78" s="15">
        <v>3.0360746820776101E-2</v>
      </c>
      <c r="Q78" s="15">
        <v>4.9041509868171899E-2</v>
      </c>
      <c r="R78" s="15">
        <v>3.9274631026661698E-3</v>
      </c>
      <c r="S78" s="16">
        <v>1.22212451139842E-17</v>
      </c>
    </row>
    <row r="79" spans="2:25">
      <c r="B79" s="2" t="s">
        <v>5</v>
      </c>
      <c r="C79" s="9">
        <v>0</v>
      </c>
      <c r="E79" s="2" t="s">
        <v>5</v>
      </c>
      <c r="F79" s="14">
        <v>5.0906601663739601E-3</v>
      </c>
      <c r="G79" s="15">
        <v>1.12299852964862E-2</v>
      </c>
      <c r="H79" s="15">
        <v>0.175523295728295</v>
      </c>
      <c r="I79" s="15">
        <v>5.6977759714126102E-5</v>
      </c>
      <c r="J79" s="15">
        <v>8.5584228771813805E-4</v>
      </c>
      <c r="K79" s="15">
        <v>9.5227280058565896E-4</v>
      </c>
      <c r="L79" s="16">
        <v>1.6031409776487599E-6</v>
      </c>
      <c r="M79" s="14">
        <v>3.9621026154965301E-4</v>
      </c>
      <c r="N79" s="15">
        <v>2.2832369168464099E-4</v>
      </c>
      <c r="O79" s="15">
        <v>5.2142255105127298E-4</v>
      </c>
      <c r="P79" s="15">
        <v>0.16152935924304401</v>
      </c>
      <c r="Q79" s="15">
        <v>0.22031226176501001</v>
      </c>
      <c r="R79" s="15">
        <v>5.9416141419018199E-4</v>
      </c>
      <c r="S79" s="16">
        <v>7.3114422279210397E-5</v>
      </c>
    </row>
    <row r="80" spans="2:25">
      <c r="B80" s="3" t="s">
        <v>6</v>
      </c>
      <c r="C80" s="10">
        <v>0</v>
      </c>
      <c r="E80" s="3" t="s">
        <v>6</v>
      </c>
      <c r="F80" s="17">
        <v>2.49308488897189E-3</v>
      </c>
      <c r="G80" s="18">
        <v>1.29624184448856E-2</v>
      </c>
      <c r="H80" s="18">
        <v>4.32622666478664E-2</v>
      </c>
      <c r="I80" s="18">
        <v>6.3735775954456897E-6</v>
      </c>
      <c r="J80" s="18">
        <v>3.9586672169002001E-4</v>
      </c>
      <c r="K80" s="18">
        <v>3.3649872017392201E-6</v>
      </c>
      <c r="L80" s="19">
        <v>2.7198332092807599E-3</v>
      </c>
      <c r="M80" s="17">
        <v>3.5753670510515103E-20</v>
      </c>
      <c r="N80" s="18">
        <v>3.1923629259890897E-5</v>
      </c>
      <c r="O80" s="18">
        <v>9.5631649679495894E-21</v>
      </c>
      <c r="P80" s="18">
        <v>0.24758105296239799</v>
      </c>
      <c r="Q80" s="18">
        <v>0.158235192459215</v>
      </c>
      <c r="R80" s="18">
        <v>1.6861550029640002E-2</v>
      </c>
      <c r="S80" s="19">
        <v>1.7660910379183999E-25</v>
      </c>
    </row>
    <row r="81" spans="2:19">
      <c r="B81" s="1" t="s">
        <v>7</v>
      </c>
      <c r="C81" s="8">
        <v>0.21119454585664399</v>
      </c>
      <c r="E81" s="1" t="s">
        <v>7</v>
      </c>
      <c r="F81" s="11">
        <v>7.3911643269948101E-3</v>
      </c>
      <c r="G81" s="12">
        <v>0.101014331962193</v>
      </c>
      <c r="H81" s="12">
        <v>0.24596776194432299</v>
      </c>
      <c r="I81" s="12">
        <v>3.6862040867672301E-2</v>
      </c>
      <c r="J81" s="12">
        <v>9.6745543740249101E-2</v>
      </c>
      <c r="K81" s="12">
        <v>9.6487003047853306E-2</v>
      </c>
      <c r="L81" s="13">
        <v>0.11943835879301599</v>
      </c>
      <c r="M81" s="11">
        <v>0.35834174395901802</v>
      </c>
      <c r="N81" s="12">
        <v>0.24387069803658301</v>
      </c>
      <c r="O81" s="12">
        <v>0.56672998648746697</v>
      </c>
      <c r="P81" s="12">
        <v>0.89796723783387999</v>
      </c>
      <c r="Q81" s="12">
        <v>1.72919437986369</v>
      </c>
      <c r="R81" s="12">
        <v>0.80654174955553704</v>
      </c>
      <c r="S81" s="13">
        <v>0.26179838186055898</v>
      </c>
    </row>
    <row r="82" spans="2:19">
      <c r="B82" s="2" t="s">
        <v>8</v>
      </c>
      <c r="C82" s="9">
        <v>0.14980854617629499</v>
      </c>
      <c r="E82" s="2" t="s">
        <v>8</v>
      </c>
      <c r="F82" s="14">
        <v>0.139351501313357</v>
      </c>
      <c r="G82" s="15">
        <v>7.40349603373768E-3</v>
      </c>
      <c r="H82" s="15">
        <v>9.7806437644045494E-2</v>
      </c>
      <c r="I82" s="15">
        <v>4.3528941675926101E-2</v>
      </c>
      <c r="J82" s="15">
        <v>0.57898598325325501</v>
      </c>
      <c r="K82" s="15">
        <v>0.29635163738866499</v>
      </c>
      <c r="L82" s="16">
        <v>4.0116501134928297E-2</v>
      </c>
      <c r="M82" s="14">
        <v>0.28463332187852602</v>
      </c>
      <c r="N82" s="15">
        <v>0.34977715871124199</v>
      </c>
      <c r="O82" s="15">
        <v>0.32112980236190197</v>
      </c>
      <c r="P82" s="15">
        <v>0.50366739477361</v>
      </c>
      <c r="Q82" s="15">
        <v>1.2433502655369999</v>
      </c>
      <c r="R82" s="15">
        <v>0.465852831105948</v>
      </c>
      <c r="S82" s="16">
        <v>0.17585987551624099</v>
      </c>
    </row>
    <row r="83" spans="2:19">
      <c r="B83" s="2" t="s">
        <v>9</v>
      </c>
      <c r="C83" s="9">
        <v>5.5110818809721199E-2</v>
      </c>
      <c r="E83" s="2" t="s">
        <v>9</v>
      </c>
      <c r="F83" s="14">
        <v>7.6454425663834103E-3</v>
      </c>
      <c r="G83" s="15">
        <v>1.04192458994416E-3</v>
      </c>
      <c r="H83" s="15">
        <v>1.76319870883078E-2</v>
      </c>
      <c r="I83" s="15">
        <v>6.6280733159308797E-2</v>
      </c>
      <c r="J83" s="15">
        <v>0.42142405850325798</v>
      </c>
      <c r="K83" s="15">
        <v>5.1008283409249101E-2</v>
      </c>
      <c r="L83" s="16">
        <v>1.00400913085292E-4</v>
      </c>
      <c r="M83" s="14">
        <v>6.0782095767028498E-3</v>
      </c>
      <c r="N83" s="15">
        <v>6.8947002080318297E-3</v>
      </c>
      <c r="O83" s="15">
        <v>0.32776509727905401</v>
      </c>
      <c r="P83" s="15">
        <v>2.29924047701421E-4</v>
      </c>
      <c r="Q83" s="15">
        <v>1.7517437751723999E-2</v>
      </c>
      <c r="R83" s="15">
        <v>2.1977730971183699E-3</v>
      </c>
      <c r="S83" s="16">
        <v>5.4393697204111798E-5</v>
      </c>
    </row>
    <row r="84" spans="2:19">
      <c r="B84" s="2" t="s">
        <v>10</v>
      </c>
      <c r="C84" s="9">
        <v>0</v>
      </c>
      <c r="E84" s="2" t="s">
        <v>10</v>
      </c>
      <c r="F84" s="14">
        <v>4.6800615563838801E-4</v>
      </c>
      <c r="G84" s="15">
        <v>3.3052872192671997E-4</v>
      </c>
      <c r="H84" s="15">
        <v>3.5321772571397602E-4</v>
      </c>
      <c r="I84" s="15">
        <v>1.20640642904436E-5</v>
      </c>
      <c r="J84" s="15">
        <v>1.75103027658298E-3</v>
      </c>
      <c r="K84" s="15">
        <v>0.27040836019681702</v>
      </c>
      <c r="L84" s="16">
        <v>0.53180583354495103</v>
      </c>
      <c r="M84" s="14">
        <v>5.4450522607189999E-3</v>
      </c>
      <c r="N84" s="15">
        <v>5.0257591007330299E-3</v>
      </c>
      <c r="O84" s="15">
        <v>3.2585064980383403E-2</v>
      </c>
      <c r="P84" s="15">
        <v>2.3442128748832999E-5</v>
      </c>
      <c r="Q84" s="15">
        <v>9.8406628836107402E-3</v>
      </c>
      <c r="R84" s="15">
        <v>0.70719818039133897</v>
      </c>
      <c r="S84" s="16">
        <v>0.18032275980429599</v>
      </c>
    </row>
    <row r="85" spans="2:19">
      <c r="B85" s="2" t="s">
        <v>11</v>
      </c>
      <c r="C85" s="9">
        <v>0</v>
      </c>
      <c r="E85" s="2" t="s">
        <v>11</v>
      </c>
      <c r="F85" s="14">
        <v>2.7978048651509799E-4</v>
      </c>
      <c r="G85" s="15">
        <v>1.5044197659823001E-4</v>
      </c>
      <c r="H85" s="15">
        <v>7.5506621245402495E-4</v>
      </c>
      <c r="I85" s="15">
        <v>3.1338661858948097E-2</v>
      </c>
      <c r="J85" s="15">
        <v>4.8528677204289203E-2</v>
      </c>
      <c r="K85" s="15">
        <v>5.2539698918377901E-3</v>
      </c>
      <c r="L85" s="16">
        <v>3.6185690612255602E-5</v>
      </c>
      <c r="M85" s="14">
        <v>6.6752711497842403E-4</v>
      </c>
      <c r="N85" s="15">
        <v>1.3277386772911899E-3</v>
      </c>
      <c r="O85" s="15">
        <v>4.54515113469523E-2</v>
      </c>
      <c r="P85" s="15">
        <v>7.5198707705764902E-5</v>
      </c>
      <c r="Q85" s="15">
        <v>8.3918701808823205E-3</v>
      </c>
      <c r="R85" s="15">
        <v>1.6519929137677E-4</v>
      </c>
      <c r="S85" s="16">
        <v>1.8248913013050101E-5</v>
      </c>
    </row>
    <row r="86" spans="2:19">
      <c r="B86" s="2" t="s">
        <v>12</v>
      </c>
      <c r="C86" s="9">
        <v>0</v>
      </c>
      <c r="E86" s="2" t="s">
        <v>12</v>
      </c>
      <c r="F86" s="14">
        <v>5.8884182435408195E-4</v>
      </c>
      <c r="G86" s="15">
        <v>2.9354340397652102E-4</v>
      </c>
      <c r="H86" s="15">
        <v>5.6371553203186204E-4</v>
      </c>
      <c r="I86" s="15">
        <v>0.16461426952304301</v>
      </c>
      <c r="J86" s="15">
        <v>0.22172386509441899</v>
      </c>
      <c r="K86" s="15">
        <v>8.1502831461348704E-4</v>
      </c>
      <c r="L86" s="16">
        <v>3.8403385090784698E-5</v>
      </c>
      <c r="M86" s="14">
        <v>5.2244936984887297E-3</v>
      </c>
      <c r="N86" s="15">
        <v>1.0812146846203401E-2</v>
      </c>
      <c r="O86" s="15">
        <v>0.186292801058274</v>
      </c>
      <c r="P86" s="15">
        <v>1.71631851877759E-4</v>
      </c>
      <c r="Q86" s="15">
        <v>7.25325431426973E-4</v>
      </c>
      <c r="R86" s="15">
        <v>2.4457457885353E-4</v>
      </c>
      <c r="S86" s="16">
        <v>4.6014781231521603E-16</v>
      </c>
    </row>
    <row r="87" spans="2:19">
      <c r="B87" s="3" t="s">
        <v>13</v>
      </c>
      <c r="C87" s="10">
        <v>0</v>
      </c>
      <c r="E87" s="3" t="s">
        <v>13</v>
      </c>
      <c r="F87" s="17">
        <v>2.1412608720127399E-14</v>
      </c>
      <c r="G87" s="18">
        <v>4.2922693686631201E-5</v>
      </c>
      <c r="H87" s="18">
        <v>2.8009929254137701E-5</v>
      </c>
      <c r="I87" s="18">
        <v>0.25891518685950798</v>
      </c>
      <c r="J87" s="18">
        <v>0.16274771359711299</v>
      </c>
      <c r="K87" s="18">
        <v>1.9411754808730999E-2</v>
      </c>
      <c r="L87" s="19">
        <v>4.5702702949894303E-24</v>
      </c>
      <c r="M87" s="17">
        <v>2.3696751046791199E-3</v>
      </c>
      <c r="N87" s="18">
        <v>1.2212923170747399E-2</v>
      </c>
      <c r="O87" s="18">
        <v>4.46361740873834E-2</v>
      </c>
      <c r="P87" s="18">
        <v>1.3577134380230401E-4</v>
      </c>
      <c r="Q87" s="18">
        <v>8.0740361624109997E-4</v>
      </c>
      <c r="R87" s="18">
        <v>2.4614066678581698E-16</v>
      </c>
      <c r="S87" s="19">
        <v>2.2005302367896998E-3</v>
      </c>
    </row>
    <row r="89" spans="2:19">
      <c r="E89" s="121" t="s">
        <v>73</v>
      </c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3"/>
    </row>
    <row r="90" spans="2:19"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</row>
    <row r="91" spans="2:19">
      <c r="E91" s="38" t="s">
        <v>15</v>
      </c>
      <c r="F91" s="40" t="s">
        <v>0</v>
      </c>
      <c r="G91" s="41" t="s">
        <v>1</v>
      </c>
      <c r="H91" s="41" t="s">
        <v>2</v>
      </c>
      <c r="I91" s="41" t="s">
        <v>3</v>
      </c>
      <c r="J91" s="41" t="s">
        <v>4</v>
      </c>
      <c r="K91" s="41" t="s">
        <v>5</v>
      </c>
      <c r="L91" s="42" t="s">
        <v>6</v>
      </c>
      <c r="M91" s="40" t="s">
        <v>7</v>
      </c>
      <c r="N91" s="41" t="s">
        <v>8</v>
      </c>
      <c r="O91" s="41" t="s">
        <v>9</v>
      </c>
      <c r="P91" s="41" t="s">
        <v>10</v>
      </c>
      <c r="Q91" s="41" t="s">
        <v>11</v>
      </c>
      <c r="R91" s="41" t="s">
        <v>12</v>
      </c>
      <c r="S91" s="42" t="s">
        <v>13</v>
      </c>
    </row>
    <row r="92" spans="2:19">
      <c r="E92" s="45" t="s">
        <v>14</v>
      </c>
      <c r="F92" s="21">
        <f>C95</f>
        <v>0</v>
      </c>
      <c r="G92" s="22">
        <f>C96</f>
        <v>0</v>
      </c>
      <c r="H92" s="22">
        <f>C97</f>
        <v>0</v>
      </c>
      <c r="I92" s="22">
        <f>C98</f>
        <v>0</v>
      </c>
      <c r="J92" s="22">
        <f>C99</f>
        <v>0</v>
      </c>
      <c r="K92" s="22">
        <f>C100</f>
        <v>0</v>
      </c>
      <c r="L92" s="23">
        <f>C101</f>
        <v>0</v>
      </c>
      <c r="M92" s="21">
        <f>C102</f>
        <v>0</v>
      </c>
      <c r="N92" s="22">
        <f>C103</f>
        <v>0</v>
      </c>
      <c r="O92" s="22">
        <f>C104</f>
        <v>0</v>
      </c>
      <c r="P92" s="22">
        <f>C105</f>
        <v>0</v>
      </c>
      <c r="Q92" s="22">
        <f>C106</f>
        <v>0</v>
      </c>
      <c r="R92" s="22">
        <f>C107</f>
        <v>0</v>
      </c>
      <c r="S92" s="23">
        <f>C108</f>
        <v>0</v>
      </c>
    </row>
    <row r="94" spans="2:19">
      <c r="C94" s="7" t="s">
        <v>14</v>
      </c>
      <c r="F94" s="4" t="s">
        <v>0</v>
      </c>
      <c r="G94" s="5" t="s">
        <v>1</v>
      </c>
      <c r="H94" s="5" t="s">
        <v>2</v>
      </c>
      <c r="I94" s="5" t="s">
        <v>3</v>
      </c>
      <c r="J94" s="5" t="s">
        <v>4</v>
      </c>
      <c r="K94" s="5" t="s">
        <v>5</v>
      </c>
      <c r="L94" s="6" t="s">
        <v>6</v>
      </c>
      <c r="M94" s="4" t="s">
        <v>7</v>
      </c>
      <c r="N94" s="5" t="s">
        <v>8</v>
      </c>
      <c r="O94" s="5" t="s">
        <v>9</v>
      </c>
      <c r="P94" s="5" t="s">
        <v>10</v>
      </c>
      <c r="Q94" s="5" t="s">
        <v>11</v>
      </c>
      <c r="R94" s="5" t="s">
        <v>12</v>
      </c>
      <c r="S94" s="6" t="s">
        <v>13</v>
      </c>
    </row>
    <row r="95" spans="2:19">
      <c r="B95" s="1" t="s">
        <v>0</v>
      </c>
      <c r="C95" s="8"/>
      <c r="E95" s="1" t="s">
        <v>0</v>
      </c>
      <c r="F95" s="11">
        <v>0.24134219116260297</v>
      </c>
      <c r="G95" s="12">
        <v>0.13402295838806016</v>
      </c>
      <c r="H95" s="12">
        <v>0.51617483343142556</v>
      </c>
      <c r="I95" s="12">
        <v>0.81460892832260667</v>
      </c>
      <c r="J95" s="12">
        <v>1.3811529911884028</v>
      </c>
      <c r="K95" s="12">
        <v>0.76477685283677954</v>
      </c>
      <c r="L95" s="13">
        <v>0.28039670592775262</v>
      </c>
      <c r="M95" s="11">
        <v>2.3588188871807359E-3</v>
      </c>
      <c r="N95" s="12">
        <v>8.5649418208960465E-2</v>
      </c>
      <c r="O95" s="12">
        <v>0.27742535153166231</v>
      </c>
      <c r="P95" s="12">
        <v>1.5965273367315923E-2</v>
      </c>
      <c r="Q95" s="12">
        <v>3.5942373015027312E-2</v>
      </c>
      <c r="R95" s="12">
        <v>7.6272765661322378E-2</v>
      </c>
      <c r="S95" s="13">
        <v>0.10915951869927999</v>
      </c>
    </row>
    <row r="96" spans="2:19">
      <c r="B96" s="2" t="s">
        <v>1</v>
      </c>
      <c r="C96" s="9"/>
      <c r="E96" s="2" t="s">
        <v>1</v>
      </c>
      <c r="F96" s="14">
        <v>0.17063951367505117</v>
      </c>
      <c r="G96" s="15">
        <v>0.18848030411179431</v>
      </c>
      <c r="H96" s="15">
        <v>0.34484451343985262</v>
      </c>
      <c r="I96" s="15">
        <v>0.4319107640474863</v>
      </c>
      <c r="J96" s="15">
        <v>0.97216823452500023</v>
      </c>
      <c r="K96" s="15">
        <v>0.32422000923970667</v>
      </c>
      <c r="L96" s="16">
        <v>0.11960127935457665</v>
      </c>
      <c r="M96" s="14">
        <v>0.12579709636945993</v>
      </c>
      <c r="N96" s="15">
        <v>3.1008567148660521E-3</v>
      </c>
      <c r="O96" s="15">
        <v>7.1693153172501162E-2</v>
      </c>
      <c r="P96" s="15">
        <v>4.9565946692487449E-2</v>
      </c>
      <c r="Q96" s="15">
        <v>0.57405052540869117</v>
      </c>
      <c r="R96" s="15">
        <v>0.26898445915447561</v>
      </c>
      <c r="S96" s="16">
        <v>2.0178108415599836E-2</v>
      </c>
    </row>
    <row r="97" spans="2:19">
      <c r="B97" s="2" t="s">
        <v>2</v>
      </c>
      <c r="C97" s="9"/>
      <c r="E97" s="2" t="s">
        <v>2</v>
      </c>
      <c r="F97" s="14">
        <v>4.6421301613478912E-3</v>
      </c>
      <c r="G97" s="15">
        <v>5.1826967434455661E-3</v>
      </c>
      <c r="H97" s="15">
        <v>0.32227072021146203</v>
      </c>
      <c r="I97" s="15">
        <v>1.3509475385030658E-3</v>
      </c>
      <c r="J97" s="15">
        <v>2.6705738540993992E-2</v>
      </c>
      <c r="K97" s="15">
        <v>1.0016316299444417E-3</v>
      </c>
      <c r="L97" s="16">
        <v>5.2945647618319539E-4</v>
      </c>
      <c r="M97" s="14">
        <v>5.0294968919903744E-3</v>
      </c>
      <c r="N97" s="15">
        <v>1.0027627103793167E-3</v>
      </c>
      <c r="O97" s="15">
        <v>9.1183231353730663E-3</v>
      </c>
      <c r="P97" s="15">
        <v>4.8930837467110883E-2</v>
      </c>
      <c r="Q97" s="15">
        <v>0.35370198321257573</v>
      </c>
      <c r="R97" s="15">
        <v>6.0595784358436357E-2</v>
      </c>
      <c r="S97" s="16">
        <v>3.1830377513744385E-5</v>
      </c>
    </row>
    <row r="98" spans="2:19">
      <c r="B98" s="2" t="s">
        <v>3</v>
      </c>
      <c r="C98" s="9"/>
      <c r="E98" s="2" t="s">
        <v>3</v>
      </c>
      <c r="F98" s="14">
        <v>1.2544208697697493E-3</v>
      </c>
      <c r="G98" s="15">
        <v>1.0685917520581235E-3</v>
      </c>
      <c r="H98" s="15">
        <v>1.9479563175447748E-2</v>
      </c>
      <c r="I98" s="15">
        <v>4.4868347132768635E-10</v>
      </c>
      <c r="J98" s="15">
        <v>5.9631138794366545E-3</v>
      </c>
      <c r="K98" s="15">
        <v>0.50421608734441503</v>
      </c>
      <c r="L98" s="16">
        <v>0.17603171029769563</v>
      </c>
      <c r="M98" s="14">
        <v>2.0597091732052097E-21</v>
      </c>
      <c r="N98" s="15">
        <v>6.8308045432507048E-6</v>
      </c>
      <c r="O98" s="15">
        <v>1.2337903063215194E-4</v>
      </c>
      <c r="P98" s="15">
        <v>7.8761480496148113E-8</v>
      </c>
      <c r="Q98" s="15">
        <v>3.1526846327234575E-19</v>
      </c>
      <c r="R98" s="15">
        <v>0.23614103495692551</v>
      </c>
      <c r="S98" s="16">
        <v>0.46956899935770785</v>
      </c>
    </row>
    <row r="99" spans="2:19">
      <c r="B99" s="2" t="s">
        <v>4</v>
      </c>
      <c r="C99" s="9"/>
      <c r="E99" s="2" t="s">
        <v>4</v>
      </c>
      <c r="F99" s="14">
        <v>1.773664131690831E-4</v>
      </c>
      <c r="G99" s="15">
        <v>9.3234721369807403E-4</v>
      </c>
      <c r="H99" s="15">
        <v>2.5027920417945899E-2</v>
      </c>
      <c r="I99" s="15">
        <v>3.1192555219233906E-5</v>
      </c>
      <c r="J99" s="15">
        <v>1.7675247720017453E-2</v>
      </c>
      <c r="K99" s="15">
        <v>1.2278704605631823E-4</v>
      </c>
      <c r="L99" s="16">
        <v>1.0675520005532949E-3</v>
      </c>
      <c r="M99" s="14">
        <v>2.1995188355403242E-4</v>
      </c>
      <c r="N99" s="15">
        <v>1.1874643634900819E-4</v>
      </c>
      <c r="O99" s="15">
        <v>1.2876547590801098E-3</v>
      </c>
      <c r="P99" s="15">
        <v>2.2293780283911224E-2</v>
      </c>
      <c r="Q99" s="15">
        <v>4.1078487173349526E-2</v>
      </c>
      <c r="R99" s="15">
        <v>4.2904777830613606E-3</v>
      </c>
      <c r="S99" s="16">
        <v>8.6178430371450714E-6</v>
      </c>
    </row>
    <row r="100" spans="2:19">
      <c r="B100" s="2" t="s">
        <v>5</v>
      </c>
      <c r="C100" s="9"/>
      <c r="E100" s="2" t="s">
        <v>5</v>
      </c>
      <c r="F100" s="14">
        <v>1.7612019376011634E-3</v>
      </c>
      <c r="G100" s="15">
        <v>9.3006778894800662E-3</v>
      </c>
      <c r="H100" s="15">
        <v>0.10976490671020939</v>
      </c>
      <c r="I100" s="15">
        <v>5.7095671133830088E-10</v>
      </c>
      <c r="J100" s="15">
        <v>4.4330282672782988E-3</v>
      </c>
      <c r="K100" s="15">
        <v>4.0378126710671767E-3</v>
      </c>
      <c r="L100" s="16">
        <v>1.6598270217667269E-7</v>
      </c>
      <c r="M100" s="14">
        <v>4.9570124860538814E-5</v>
      </c>
      <c r="N100" s="15">
        <v>7.4767916656636527E-7</v>
      </c>
      <c r="O100" s="15">
        <v>7.0412112728467145E-4</v>
      </c>
      <c r="P100" s="15">
        <v>0.14977960732119669</v>
      </c>
      <c r="Q100" s="15">
        <v>0.22201030315244841</v>
      </c>
      <c r="R100" s="15">
        <v>1.7781571604048693E-3</v>
      </c>
      <c r="S100" s="16">
        <v>6.2039917656779364E-14</v>
      </c>
    </row>
    <row r="101" spans="2:19">
      <c r="B101" s="3" t="s">
        <v>6</v>
      </c>
      <c r="C101" s="10"/>
      <c r="E101" s="3" t="s">
        <v>6</v>
      </c>
      <c r="F101" s="17">
        <v>5.3538773174495295E-4</v>
      </c>
      <c r="G101" s="18">
        <v>6.1393348689302235E-3</v>
      </c>
      <c r="H101" s="18">
        <v>3.6230391116192459E-2</v>
      </c>
      <c r="I101" s="18">
        <v>1.945224700614906E-33</v>
      </c>
      <c r="J101" s="18">
        <v>1.824752512186925E-50</v>
      </c>
      <c r="K101" s="18">
        <v>7.0383581752442465E-23</v>
      </c>
      <c r="L101" s="19">
        <v>5.6123577823187134E-3</v>
      </c>
      <c r="M101" s="17">
        <v>1.6566166099984973E-11</v>
      </c>
      <c r="N101" s="18">
        <v>2.2740781176166824E-21</v>
      </c>
      <c r="O101" s="18">
        <v>2.0489362084927176E-5</v>
      </c>
      <c r="P101" s="18">
        <v>0.23383161569151401</v>
      </c>
      <c r="Q101" s="18">
        <v>0.16356817571994778</v>
      </c>
      <c r="R101" s="18">
        <v>6.4171924318350923E-5</v>
      </c>
      <c r="S101" s="19">
        <v>8.1956080432860881E-4</v>
      </c>
    </row>
    <row r="102" spans="2:19">
      <c r="B102" s="1" t="s">
        <v>7</v>
      </c>
      <c r="C102" s="8"/>
      <c r="E102" s="1" t="s">
        <v>7</v>
      </c>
      <c r="F102" s="11">
        <v>2.2546289194158835E-3</v>
      </c>
      <c r="G102" s="12">
        <v>8.5345692182972763E-2</v>
      </c>
      <c r="H102" s="12">
        <v>0.26281299290399673</v>
      </c>
      <c r="I102" s="12">
        <v>2.1499412647383753E-2</v>
      </c>
      <c r="J102" s="12">
        <v>3.251339909330811E-2</v>
      </c>
      <c r="K102" s="12">
        <v>8.2965181970512336E-2</v>
      </c>
      <c r="L102" s="13">
        <v>0.11423144589985625</v>
      </c>
      <c r="M102" s="11">
        <v>0.23390264723681187</v>
      </c>
      <c r="N102" s="12">
        <v>0.1374717321827415</v>
      </c>
      <c r="O102" s="12">
        <v>0.51243000076162415</v>
      </c>
      <c r="P102" s="12">
        <v>0.77385778378368175</v>
      </c>
      <c r="Q102" s="12">
        <v>1.4447938599556358</v>
      </c>
      <c r="R102" s="12">
        <v>0.74004900672716856</v>
      </c>
      <c r="S102" s="13">
        <v>0.24364918565911739</v>
      </c>
    </row>
    <row r="103" spans="2:19">
      <c r="B103" s="2" t="s">
        <v>8</v>
      </c>
      <c r="C103" s="9"/>
      <c r="E103" s="2" t="s">
        <v>8</v>
      </c>
      <c r="F103" s="14">
        <v>0.12987684873364588</v>
      </c>
      <c r="G103" s="15">
        <v>3.1405683813043855E-3</v>
      </c>
      <c r="H103" s="15">
        <v>7.8362408478555801E-2</v>
      </c>
      <c r="I103" s="15">
        <v>5.0382971230104039E-2</v>
      </c>
      <c r="J103" s="15">
        <v>0.45807319262350293</v>
      </c>
      <c r="K103" s="15">
        <v>0.2257548725678509</v>
      </c>
      <c r="L103" s="16">
        <v>2.7651375508926438E-2</v>
      </c>
      <c r="M103" s="14">
        <v>0.15919234136621338</v>
      </c>
      <c r="N103" s="15">
        <v>0.18287487771243116</v>
      </c>
      <c r="O103" s="15">
        <v>0.34467980987822433</v>
      </c>
      <c r="P103" s="15">
        <v>0.50480194779907828</v>
      </c>
      <c r="Q103" s="15">
        <v>1.0826362202264053</v>
      </c>
      <c r="R103" s="15">
        <v>0.42337203528846812</v>
      </c>
      <c r="S103" s="16">
        <v>0.20379399925215047</v>
      </c>
    </row>
    <row r="104" spans="2:19">
      <c r="B104" s="2" t="s">
        <v>9</v>
      </c>
      <c r="C104" s="9"/>
      <c r="E104" s="2" t="s">
        <v>9</v>
      </c>
      <c r="F104" s="14">
        <v>3.9924201865616394E-3</v>
      </c>
      <c r="G104" s="15">
        <v>9.0750559037224108E-4</v>
      </c>
      <c r="H104" s="15">
        <v>1.8852842821976631E-2</v>
      </c>
      <c r="I104" s="15">
        <v>4.4570169157493719E-2</v>
      </c>
      <c r="J104" s="15">
        <v>0.37644823013727036</v>
      </c>
      <c r="K104" s="15">
        <v>5.4015008828432555E-2</v>
      </c>
      <c r="L104" s="16">
        <v>1.7723421683221851E-13</v>
      </c>
      <c r="M104" s="14">
        <v>6.1179902582509538E-3</v>
      </c>
      <c r="N104" s="15">
        <v>6.2614804782650116E-3</v>
      </c>
      <c r="O104" s="15">
        <v>0.30860105791717407</v>
      </c>
      <c r="P104" s="15">
        <v>1.5913784983995599E-6</v>
      </c>
      <c r="Q104" s="15">
        <v>5.1668616738106713E-3</v>
      </c>
      <c r="R104" s="15">
        <v>6.0347412385388282E-3</v>
      </c>
      <c r="S104" s="16">
        <v>4.5872368663489517E-6</v>
      </c>
    </row>
    <row r="105" spans="2:19">
      <c r="B105" s="2" t="s">
        <v>10</v>
      </c>
      <c r="C105" s="9"/>
      <c r="E105" s="2" t="s">
        <v>10</v>
      </c>
      <c r="F105" s="14">
        <v>2.4930817751312837E-6</v>
      </c>
      <c r="G105" s="15">
        <v>5.3763962285418201E-6</v>
      </c>
      <c r="H105" s="15">
        <v>1.0026450749592264E-24</v>
      </c>
      <c r="I105" s="15">
        <v>2.7354663339497991E-12</v>
      </c>
      <c r="J105" s="15">
        <v>3.4380571534612611E-3</v>
      </c>
      <c r="K105" s="15">
        <v>0.2205558937587194</v>
      </c>
      <c r="L105" s="16">
        <v>0.44165764568248506</v>
      </c>
      <c r="M105" s="14">
        <v>1.1455367249040597E-3</v>
      </c>
      <c r="N105" s="15">
        <v>1.2683115835082958E-3</v>
      </c>
      <c r="O105" s="15">
        <v>2.9721407169180064E-2</v>
      </c>
      <c r="P105" s="15">
        <v>1.0281965977994645E-4</v>
      </c>
      <c r="Q105" s="15">
        <v>5.0457702359738002E-3</v>
      </c>
      <c r="R105" s="15">
        <v>0.49961819118987105</v>
      </c>
      <c r="S105" s="16">
        <v>0.15546133225461611</v>
      </c>
    </row>
    <row r="106" spans="2:19">
      <c r="B106" s="2" t="s">
        <v>11</v>
      </c>
      <c r="C106" s="9"/>
      <c r="E106" s="2" t="s">
        <v>11</v>
      </c>
      <c r="F106" s="14">
        <v>1.5704746609537316E-10</v>
      </c>
      <c r="G106" s="15">
        <v>7.4683719538199158E-6</v>
      </c>
      <c r="H106" s="15">
        <v>8.2970225904154254E-4</v>
      </c>
      <c r="I106" s="15">
        <v>2.9385821152866923E-2</v>
      </c>
      <c r="J106" s="15">
        <v>4.7373390125739476E-2</v>
      </c>
      <c r="K106" s="15">
        <v>7.3150547829124862E-3</v>
      </c>
      <c r="L106" s="16">
        <v>1.249478252961561E-3</v>
      </c>
      <c r="M106" s="14">
        <v>1.6677308213268745E-4</v>
      </c>
      <c r="N106" s="15">
        <v>6.775738978991384E-4</v>
      </c>
      <c r="O106" s="15">
        <v>2.3216022486734593E-2</v>
      </c>
      <c r="P106" s="15">
        <v>5.2030217820686857E-5</v>
      </c>
      <c r="Q106" s="15">
        <v>5.4469690869071302E-3</v>
      </c>
      <c r="R106" s="15">
        <v>1.4093473856650277E-3</v>
      </c>
      <c r="S106" s="16">
        <v>7.1805060806452838E-7</v>
      </c>
    </row>
    <row r="107" spans="2:19">
      <c r="B107" s="2" t="s">
        <v>12</v>
      </c>
      <c r="C107" s="9"/>
      <c r="E107" s="2" t="s">
        <v>12</v>
      </c>
      <c r="F107" s="14">
        <v>5.4745279003695537E-4</v>
      </c>
      <c r="G107" s="15">
        <v>2.1204043709966442E-4</v>
      </c>
      <c r="H107" s="15">
        <v>8.4189796609425156E-5</v>
      </c>
      <c r="I107" s="15">
        <v>0.14473420166225892</v>
      </c>
      <c r="J107" s="15">
        <v>0.19979688760929237</v>
      </c>
      <c r="K107" s="15">
        <v>2.8657533396780339E-3</v>
      </c>
      <c r="L107" s="16">
        <v>5.4555002490780483E-18</v>
      </c>
      <c r="M107" s="14">
        <v>1.6870032353323604E-3</v>
      </c>
      <c r="N107" s="15">
        <v>7.6707269744870424E-3</v>
      </c>
      <c r="O107" s="15">
        <v>0.11472294140848605</v>
      </c>
      <c r="P107" s="15">
        <v>1.3862199376373231E-4</v>
      </c>
      <c r="Q107" s="15">
        <v>2.4228895507063301E-19</v>
      </c>
      <c r="R107" s="15">
        <v>9.0350706946104326E-3</v>
      </c>
      <c r="S107" s="16">
        <v>6.1972260504084998E-7</v>
      </c>
    </row>
    <row r="108" spans="2:19">
      <c r="B108" s="3" t="s">
        <v>13</v>
      </c>
      <c r="C108" s="10"/>
      <c r="E108" s="3" t="s">
        <v>13</v>
      </c>
      <c r="F108" s="17">
        <v>8.572636061764176E-22</v>
      </c>
      <c r="G108" s="18">
        <v>2.103301765130575E-6</v>
      </c>
      <c r="H108" s="18">
        <v>9.4939776413029036E-5</v>
      </c>
      <c r="I108" s="18">
        <v>0.26833971897877507</v>
      </c>
      <c r="J108" s="18">
        <v>0.17781003365316697</v>
      </c>
      <c r="K108" s="18">
        <v>4.2441676625966655E-4</v>
      </c>
      <c r="L108" s="19">
        <v>8.6110141033348732E-4</v>
      </c>
      <c r="M108" s="17">
        <v>4.0141257474723036E-4</v>
      </c>
      <c r="N108" s="18">
        <v>5.8165131334136141E-3</v>
      </c>
      <c r="O108" s="18">
        <v>3.7215069384881505E-2</v>
      </c>
      <c r="P108" s="18">
        <v>4.9030659750103083E-5</v>
      </c>
      <c r="Q108" s="18">
        <v>1.7638131561754666E-3</v>
      </c>
      <c r="R108" s="18">
        <v>3.6447396259594393E-30</v>
      </c>
      <c r="S108" s="19">
        <v>7.4985364947607047E-3</v>
      </c>
    </row>
    <row r="110" spans="2:19">
      <c r="E110" s="121" t="s">
        <v>33</v>
      </c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3"/>
    </row>
    <row r="111" spans="2:19"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</row>
    <row r="112" spans="2:19">
      <c r="E112" s="38" t="s">
        <v>15</v>
      </c>
      <c r="F112" s="40" t="s">
        <v>0</v>
      </c>
      <c r="G112" s="41" t="s">
        <v>1</v>
      </c>
      <c r="H112" s="41" t="s">
        <v>2</v>
      </c>
      <c r="I112" s="41" t="s">
        <v>3</v>
      </c>
      <c r="J112" s="41" t="s">
        <v>4</v>
      </c>
      <c r="K112" s="41" t="s">
        <v>5</v>
      </c>
      <c r="L112" s="42" t="s">
        <v>6</v>
      </c>
      <c r="M112" s="40" t="s">
        <v>7</v>
      </c>
      <c r="N112" s="41" t="s">
        <v>8</v>
      </c>
      <c r="O112" s="41" t="s">
        <v>9</v>
      </c>
      <c r="P112" s="41" t="s">
        <v>10</v>
      </c>
      <c r="Q112" s="41" t="s">
        <v>11</v>
      </c>
      <c r="R112" s="41" t="s">
        <v>12</v>
      </c>
      <c r="S112" s="42" t="s">
        <v>13</v>
      </c>
    </row>
    <row r="113" spans="2:19">
      <c r="E113" s="45" t="s">
        <v>14</v>
      </c>
      <c r="F113" s="21">
        <f>C116</f>
        <v>0.14936271319436956</v>
      </c>
      <c r="G113" s="22">
        <f>C117</f>
        <v>0.11578015087835268</v>
      </c>
      <c r="H113" s="22">
        <f>C118</f>
        <v>3.8687595511902796E-2</v>
      </c>
      <c r="I113" s="22">
        <f>C119</f>
        <v>7.9652009932787535E-4</v>
      </c>
      <c r="J113" s="22">
        <f>C120</f>
        <v>1.3428190269944966E-3</v>
      </c>
      <c r="K113" s="22">
        <f>C121</f>
        <v>3.201419848512735E-3</v>
      </c>
      <c r="L113" s="23">
        <f>C122</f>
        <v>4.4267956343129443E-4</v>
      </c>
      <c r="M113" s="21">
        <f>C123</f>
        <v>0.16903649160011308</v>
      </c>
      <c r="N113" s="22">
        <f>C124</f>
        <v>0.1103989501645755</v>
      </c>
      <c r="O113" s="22">
        <f>C125</f>
        <v>4.423359015234786E-2</v>
      </c>
      <c r="P113" s="22">
        <f>C126</f>
        <v>1.3208264981059796E-3</v>
      </c>
      <c r="Q113" s="22">
        <f>C127</f>
        <v>1.3024150366463562E-3</v>
      </c>
      <c r="R113" s="22">
        <f>C128</f>
        <v>3.7501749845770954E-3</v>
      </c>
      <c r="S113" s="23">
        <f>C129</f>
        <v>8.899376776976283E-42</v>
      </c>
    </row>
    <row r="115" spans="2:19">
      <c r="C115" s="7" t="s">
        <v>14</v>
      </c>
      <c r="F115" s="4" t="s">
        <v>0</v>
      </c>
      <c r="G115" s="5" t="s">
        <v>1</v>
      </c>
      <c r="H115" s="5" t="s">
        <v>2</v>
      </c>
      <c r="I115" s="5" t="s">
        <v>3</v>
      </c>
      <c r="J115" s="5" t="s">
        <v>4</v>
      </c>
      <c r="K115" s="5" t="s">
        <v>5</v>
      </c>
      <c r="L115" s="6" t="s">
        <v>6</v>
      </c>
      <c r="M115" s="4" t="s">
        <v>7</v>
      </c>
      <c r="N115" s="5" t="s">
        <v>8</v>
      </c>
      <c r="O115" s="5" t="s">
        <v>9</v>
      </c>
      <c r="P115" s="5" t="s">
        <v>10</v>
      </c>
      <c r="Q115" s="5" t="s">
        <v>11</v>
      </c>
      <c r="R115" s="5" t="s">
        <v>12</v>
      </c>
      <c r="S115" s="6" t="s">
        <v>13</v>
      </c>
    </row>
    <row r="116" spans="2:19">
      <c r="B116" s="1" t="s">
        <v>0</v>
      </c>
      <c r="C116" s="8">
        <v>0.14936271319436956</v>
      </c>
      <c r="E116" s="1" t="s">
        <v>0</v>
      </c>
      <c r="F116" s="11">
        <v>0.38160345917149952</v>
      </c>
      <c r="G116" s="12">
        <v>0.25076980162335988</v>
      </c>
      <c r="H116" s="12">
        <v>0.5379151413025135</v>
      </c>
      <c r="I116" s="12">
        <v>0.96767459768705943</v>
      </c>
      <c r="J116" s="12">
        <v>1.5590253229820215</v>
      </c>
      <c r="K116" s="12">
        <v>0.83178016907624908</v>
      </c>
      <c r="L116" s="13">
        <v>0.29880162169246149</v>
      </c>
      <c r="M116" s="11">
        <v>1.0294080803632647E-2</v>
      </c>
      <c r="N116" s="12">
        <v>9.4444980671934908E-2</v>
      </c>
      <c r="O116" s="12">
        <v>0.27982903724362429</v>
      </c>
      <c r="P116" s="12">
        <v>2.966559201701352E-2</v>
      </c>
      <c r="Q116" s="12">
        <v>4.2122137498441216E-2</v>
      </c>
      <c r="R116" s="12">
        <v>7.7550635275482255E-2</v>
      </c>
      <c r="S116" s="13">
        <v>0.11607416118547334</v>
      </c>
    </row>
    <row r="117" spans="2:19">
      <c r="B117" s="2" t="s">
        <v>1</v>
      </c>
      <c r="C117" s="9">
        <v>0.11578015087835268</v>
      </c>
      <c r="E117" s="2" t="s">
        <v>1</v>
      </c>
      <c r="F117" s="14">
        <v>0.29053813634196124</v>
      </c>
      <c r="G117" s="15">
        <v>0.3646679663961338</v>
      </c>
      <c r="H117" s="15">
        <v>0.35537262705342371</v>
      </c>
      <c r="I117" s="15">
        <v>0.48937260904441143</v>
      </c>
      <c r="J117" s="15">
        <v>1.0853896935822831</v>
      </c>
      <c r="K117" s="15">
        <v>0.33407361025249727</v>
      </c>
      <c r="L117" s="16">
        <v>0.12100220521079275</v>
      </c>
      <c r="M117" s="14">
        <v>0.14145444836204182</v>
      </c>
      <c r="N117" s="15">
        <v>9.5741022783375936E-3</v>
      </c>
      <c r="O117" s="15">
        <v>7.9656536429015254E-2</v>
      </c>
      <c r="P117" s="15">
        <v>4.9565946692487456E-2</v>
      </c>
      <c r="Q117" s="15">
        <v>0.57405052540869117</v>
      </c>
      <c r="R117" s="15">
        <v>0.28712664095664842</v>
      </c>
      <c r="S117" s="16">
        <v>5.4279695487027657E-2</v>
      </c>
    </row>
    <row r="118" spans="2:19">
      <c r="B118" s="2" t="s">
        <v>2</v>
      </c>
      <c r="C118" s="9">
        <v>3.8687595511902796E-2</v>
      </c>
      <c r="E118" s="2" t="s">
        <v>2</v>
      </c>
      <c r="F118" s="14">
        <v>7.0702511648794231E-3</v>
      </c>
      <c r="G118" s="15">
        <v>7.2276448115776663E-3</v>
      </c>
      <c r="H118" s="15">
        <v>0.40538849668381283</v>
      </c>
      <c r="I118" s="15">
        <v>1.4889651020986883E-3</v>
      </c>
      <c r="J118" s="15">
        <v>2.87532383977432E-2</v>
      </c>
      <c r="K118" s="15">
        <v>1.404118472557842E-3</v>
      </c>
      <c r="L118" s="16">
        <v>5.2945647618319539E-4</v>
      </c>
      <c r="M118" s="14">
        <v>6.4155046421878765E-3</v>
      </c>
      <c r="N118" s="15">
        <v>1.6526668011732442E-3</v>
      </c>
      <c r="O118" s="15">
        <v>9.1183231353730663E-3</v>
      </c>
      <c r="P118" s="15">
        <v>5.9435235724665747E-2</v>
      </c>
      <c r="Q118" s="15">
        <v>0.38039111484078014</v>
      </c>
      <c r="R118" s="15">
        <v>6.0595784358436357E-2</v>
      </c>
      <c r="S118" s="16">
        <v>1.04181293077258E-4</v>
      </c>
    </row>
    <row r="119" spans="2:19">
      <c r="B119" s="2" t="s">
        <v>3</v>
      </c>
      <c r="C119" s="9">
        <v>7.9652009932787535E-4</v>
      </c>
      <c r="E119" s="2" t="s">
        <v>3</v>
      </c>
      <c r="F119" s="14">
        <v>5.8925726200149374E-3</v>
      </c>
      <c r="G119" s="15">
        <v>4.5561453709103295E-3</v>
      </c>
      <c r="H119" s="15">
        <v>2.0378697780574901E-2</v>
      </c>
      <c r="I119" s="15">
        <v>4.4868347132768635E-10</v>
      </c>
      <c r="J119" s="15">
        <v>5.9631138794366545E-3</v>
      </c>
      <c r="K119" s="15">
        <v>0.7230792586642355</v>
      </c>
      <c r="L119" s="16">
        <v>0.2102166718248403</v>
      </c>
      <c r="M119" s="14">
        <v>2.9682846037976189E-4</v>
      </c>
      <c r="N119" s="15">
        <v>9.7957005796237443E-5</v>
      </c>
      <c r="O119" s="15">
        <v>1.2337903063215194E-4</v>
      </c>
      <c r="P119" s="15">
        <v>7.8761480496148113E-8</v>
      </c>
      <c r="Q119" s="15">
        <v>3.1526846327234575E-19</v>
      </c>
      <c r="R119" s="15">
        <v>0.2731161574610087</v>
      </c>
      <c r="S119" s="16">
        <v>0.53641509585258806</v>
      </c>
    </row>
    <row r="120" spans="2:19">
      <c r="B120" s="2" t="s">
        <v>4</v>
      </c>
      <c r="C120" s="9">
        <v>1.3428190269944966E-3</v>
      </c>
      <c r="E120" s="2" t="s">
        <v>4</v>
      </c>
      <c r="F120" s="14">
        <v>4.8161781972007702E-4</v>
      </c>
      <c r="G120" s="15">
        <v>1.2300591129246082E-3</v>
      </c>
      <c r="H120" s="15">
        <v>4.9349299921068679E-2</v>
      </c>
      <c r="I120" s="15">
        <v>8.990797725156204E-5</v>
      </c>
      <c r="J120" s="15">
        <v>1.7675247720017453E-2</v>
      </c>
      <c r="K120" s="15">
        <v>1.2278704605631823E-4</v>
      </c>
      <c r="L120" s="16">
        <v>1.0675520005532949E-3</v>
      </c>
      <c r="M120" s="14">
        <v>2.2961179554092671E-4</v>
      </c>
      <c r="N120" s="15">
        <v>1.7482657413607752E-4</v>
      </c>
      <c r="O120" s="15">
        <v>1.2876547590801098E-3</v>
      </c>
      <c r="P120" s="15">
        <v>2.7172191630859613E-2</v>
      </c>
      <c r="Q120" s="15">
        <v>4.6783055951380215E-2</v>
      </c>
      <c r="R120" s="15">
        <v>4.2904777830613606E-3</v>
      </c>
      <c r="S120" s="16">
        <v>8.6178430371450714E-6</v>
      </c>
    </row>
    <row r="121" spans="2:19">
      <c r="B121" s="2" t="s">
        <v>5</v>
      </c>
      <c r="C121" s="9">
        <v>3.201419848512735E-3</v>
      </c>
      <c r="E121" s="2" t="s">
        <v>5</v>
      </c>
      <c r="F121" s="14">
        <v>4.5934941053933981E-3</v>
      </c>
      <c r="G121" s="15">
        <v>1.1952454583305749E-2</v>
      </c>
      <c r="H121" s="15">
        <v>0.17147481525700442</v>
      </c>
      <c r="I121" s="15">
        <v>5.7095671133830088E-10</v>
      </c>
      <c r="J121" s="15">
        <v>4.4330282672782988E-3</v>
      </c>
      <c r="K121" s="15">
        <v>4.0378126710671767E-3</v>
      </c>
      <c r="L121" s="16">
        <v>1.6598270217667269E-7</v>
      </c>
      <c r="M121" s="14">
        <v>6.6733771814804057E-5</v>
      </c>
      <c r="N121" s="15">
        <v>4.4282885089284434E-4</v>
      </c>
      <c r="O121" s="15">
        <v>7.0412112728467145E-4</v>
      </c>
      <c r="P121" s="15">
        <v>0.16364168427557049</v>
      </c>
      <c r="Q121" s="15">
        <v>0.2330174484128695</v>
      </c>
      <c r="R121" s="15">
        <v>1.7781571604048693E-3</v>
      </c>
      <c r="S121" s="16">
        <v>6.2039917656779364E-14</v>
      </c>
    </row>
    <row r="122" spans="2:19">
      <c r="B122" s="3" t="s">
        <v>6</v>
      </c>
      <c r="C122" s="10">
        <v>4.4267956343129443E-4</v>
      </c>
      <c r="E122" s="3" t="s">
        <v>6</v>
      </c>
      <c r="F122" s="17">
        <v>2.4163638669169596E-3</v>
      </c>
      <c r="G122" s="18">
        <v>1.1931383898058069E-2</v>
      </c>
      <c r="H122" s="18">
        <v>3.9054538086090829E-2</v>
      </c>
      <c r="I122" s="18">
        <v>1.945224700614906E-33</v>
      </c>
      <c r="J122" s="18">
        <v>1.824752512186925E-50</v>
      </c>
      <c r="K122" s="18">
        <v>7.0383581752442465E-23</v>
      </c>
      <c r="L122" s="19">
        <v>5.6123577823187134E-3</v>
      </c>
      <c r="M122" s="17">
        <v>1.6566166099984973E-11</v>
      </c>
      <c r="N122" s="18">
        <v>1.6095280802770387E-5</v>
      </c>
      <c r="O122" s="18">
        <v>2.0489362084927176E-5</v>
      </c>
      <c r="P122" s="18">
        <v>0.23768478762283665</v>
      </c>
      <c r="Q122" s="18">
        <v>0.16727003167627938</v>
      </c>
      <c r="R122" s="18">
        <v>6.4171924318350923E-5</v>
      </c>
      <c r="S122" s="19">
        <v>8.2678556880603517E-4</v>
      </c>
    </row>
    <row r="123" spans="2:19">
      <c r="B123" s="1" t="s">
        <v>7</v>
      </c>
      <c r="C123" s="8">
        <v>0.16903649160011308</v>
      </c>
      <c r="E123" s="1" t="s">
        <v>7</v>
      </c>
      <c r="F123" s="11">
        <v>9.3547878690502535E-3</v>
      </c>
      <c r="G123" s="12">
        <v>9.4549166176857463E-2</v>
      </c>
      <c r="H123" s="12">
        <v>0.26443651925898687</v>
      </c>
      <c r="I123" s="12">
        <v>3.1719365353977486E-2</v>
      </c>
      <c r="J123" s="12">
        <v>3.2634351229019254E-2</v>
      </c>
      <c r="K123" s="12">
        <v>8.3390847864351081E-2</v>
      </c>
      <c r="L123" s="13">
        <v>0.11988164650652973</v>
      </c>
      <c r="M123" s="11">
        <v>0.37406804712673825</v>
      </c>
      <c r="N123" s="12">
        <v>0.24889830535929539</v>
      </c>
      <c r="O123" s="12">
        <v>0.52796284773117808</v>
      </c>
      <c r="P123" s="12">
        <v>0.96581269786302693</v>
      </c>
      <c r="Q123" s="12">
        <v>1.6472919906286903</v>
      </c>
      <c r="R123" s="12">
        <v>0.78569692337628894</v>
      </c>
      <c r="S123" s="13">
        <v>0.25443144151356517</v>
      </c>
    </row>
    <row r="124" spans="2:19">
      <c r="B124" s="2" t="s">
        <v>8</v>
      </c>
      <c r="C124" s="9">
        <v>0.1103989501645755</v>
      </c>
      <c r="E124" s="2" t="s">
        <v>8</v>
      </c>
      <c r="F124" s="14">
        <v>0.14534491589051965</v>
      </c>
      <c r="G124" s="15">
        <v>9.183661741362233E-3</v>
      </c>
      <c r="H124" s="15">
        <v>8.4991045956589684E-2</v>
      </c>
      <c r="I124" s="15">
        <v>5.0382971230104039E-2</v>
      </c>
      <c r="J124" s="15">
        <v>0.45807319262350288</v>
      </c>
      <c r="K124" s="15">
        <v>0.24537699875431149</v>
      </c>
      <c r="L124" s="16">
        <v>6.6055965617723728E-2</v>
      </c>
      <c r="M124" s="14">
        <v>0.28765294916321837</v>
      </c>
      <c r="N124" s="15">
        <v>0.35667103907935815</v>
      </c>
      <c r="O124" s="15">
        <v>0.35371335268411985</v>
      </c>
      <c r="P124" s="15">
        <v>0.56774363037376019</v>
      </c>
      <c r="Q124" s="15">
        <v>1.1972002343177404</v>
      </c>
      <c r="R124" s="15">
        <v>0.43871789026902719</v>
      </c>
      <c r="S124" s="16">
        <v>0.20586655712652335</v>
      </c>
    </row>
    <row r="125" spans="2:19">
      <c r="B125" s="2" t="s">
        <v>9</v>
      </c>
      <c r="C125" s="9">
        <v>4.423359015234786E-2</v>
      </c>
      <c r="E125" s="2" t="s">
        <v>9</v>
      </c>
      <c r="F125" s="14">
        <v>5.402721568693987E-3</v>
      </c>
      <c r="G125" s="15">
        <v>1.4772658420935778E-3</v>
      </c>
      <c r="H125" s="15">
        <v>1.8852842821976631E-2</v>
      </c>
      <c r="I125" s="15">
        <v>5.3950795561428802E-2</v>
      </c>
      <c r="J125" s="15">
        <v>0.40167389238664591</v>
      </c>
      <c r="K125" s="15">
        <v>5.4247086366077168E-2</v>
      </c>
      <c r="L125" s="16">
        <v>1.7723421683221851E-13</v>
      </c>
      <c r="M125" s="14">
        <v>8.8400634367972585E-3</v>
      </c>
      <c r="N125" s="15">
        <v>7.9719938508295337E-3</v>
      </c>
      <c r="O125" s="15">
        <v>0.39653297591788911</v>
      </c>
      <c r="P125" s="15">
        <v>1.5913784983995599E-6</v>
      </c>
      <c r="Q125" s="15">
        <v>6.9367386297953647E-3</v>
      </c>
      <c r="R125" s="15">
        <v>6.4741936215776648E-3</v>
      </c>
      <c r="S125" s="16">
        <v>4.5872368663489517E-6</v>
      </c>
    </row>
    <row r="126" spans="2:19">
      <c r="B126" s="2" t="s">
        <v>10</v>
      </c>
      <c r="C126" s="9">
        <v>1.3208264981059796E-3</v>
      </c>
      <c r="E126" s="2" t="s">
        <v>10</v>
      </c>
      <c r="F126" s="14">
        <v>1.3082064487713676E-5</v>
      </c>
      <c r="G126" s="15">
        <v>7.7705575703972344E-5</v>
      </c>
      <c r="H126" s="15">
        <v>3.3071833745191995E-5</v>
      </c>
      <c r="I126" s="15">
        <v>2.7354663339497991E-12</v>
      </c>
      <c r="J126" s="15">
        <v>3.4943763853377443E-3</v>
      </c>
      <c r="K126" s="15">
        <v>0.26074189912260703</v>
      </c>
      <c r="L126" s="16">
        <v>0.51271705915529897</v>
      </c>
      <c r="M126" s="14">
        <v>5.0534086973085248E-3</v>
      </c>
      <c r="N126" s="15">
        <v>4.6846636179987185E-3</v>
      </c>
      <c r="O126" s="15">
        <v>3.0379425220317904E-2</v>
      </c>
      <c r="P126" s="15">
        <v>1.6616992431398196E-4</v>
      </c>
      <c r="Q126" s="15">
        <v>5.0457702359738002E-3</v>
      </c>
      <c r="R126" s="15">
        <v>0.71464925766039877</v>
      </c>
      <c r="S126" s="16">
        <v>0.18261931843385096</v>
      </c>
    </row>
    <row r="127" spans="2:19">
      <c r="B127" s="2" t="s">
        <v>11</v>
      </c>
      <c r="C127" s="9">
        <v>1.3024150366463562E-3</v>
      </c>
      <c r="E127" s="2" t="s">
        <v>11</v>
      </c>
      <c r="F127" s="14">
        <v>1.5704746609537316E-10</v>
      </c>
      <c r="G127" s="15">
        <v>5.1089770834339547E-5</v>
      </c>
      <c r="H127" s="15">
        <v>9.4185685346249689E-4</v>
      </c>
      <c r="I127" s="15">
        <v>3.4137863164686297E-2</v>
      </c>
      <c r="J127" s="15">
        <v>5.5746690719890267E-2</v>
      </c>
      <c r="K127" s="15">
        <v>7.447699860350738E-3</v>
      </c>
      <c r="L127" s="16">
        <v>1.249478252961561E-3</v>
      </c>
      <c r="M127" s="14">
        <v>4.7178174267847753E-4</v>
      </c>
      <c r="N127" s="15">
        <v>9.6493365108034389E-4</v>
      </c>
      <c r="O127" s="15">
        <v>4.2491532255945451E-2</v>
      </c>
      <c r="P127" s="15">
        <v>6.1740130529168747E-5</v>
      </c>
      <c r="Q127" s="15">
        <v>5.4469690869071302E-3</v>
      </c>
      <c r="R127" s="15">
        <v>1.562469604756744E-3</v>
      </c>
      <c r="S127" s="16">
        <v>7.1805060806452838E-7</v>
      </c>
    </row>
    <row r="128" spans="2:19">
      <c r="B128" s="2" t="s">
        <v>12</v>
      </c>
      <c r="C128" s="9">
        <v>3.7501749845770954E-3</v>
      </c>
      <c r="E128" s="2" t="s">
        <v>12</v>
      </c>
      <c r="F128" s="14">
        <v>5.5936007286573207E-4</v>
      </c>
      <c r="G128" s="15">
        <v>4.4844511552353302E-4</v>
      </c>
      <c r="H128" s="15">
        <v>1.5934912504336719E-4</v>
      </c>
      <c r="I128" s="15">
        <v>0.15623059099387726</v>
      </c>
      <c r="J128" s="15">
        <v>0.21575451688365024</v>
      </c>
      <c r="K128" s="15">
        <v>2.8657533396780339E-3</v>
      </c>
      <c r="L128" s="16">
        <v>5.4555002490780476E-18</v>
      </c>
      <c r="M128" s="14">
        <v>4.8545866481500962E-3</v>
      </c>
      <c r="N128" s="15">
        <v>9.7836138545909709E-3</v>
      </c>
      <c r="O128" s="15">
        <v>0.17194536927575399</v>
      </c>
      <c r="P128" s="15">
        <v>1.3862199376373231E-4</v>
      </c>
      <c r="Q128" s="15">
        <v>2.4228895507063301E-19</v>
      </c>
      <c r="R128" s="15">
        <v>9.0350706946104326E-3</v>
      </c>
      <c r="S128" s="16">
        <v>6.1972260504084998E-7</v>
      </c>
    </row>
    <row r="129" spans="2:19">
      <c r="B129" s="3" t="s">
        <v>13</v>
      </c>
      <c r="C129" s="10">
        <v>8.899376776976283E-42</v>
      </c>
      <c r="E129" s="3" t="s">
        <v>13</v>
      </c>
      <c r="F129" s="17">
        <v>8.572636061764176E-22</v>
      </c>
      <c r="G129" s="18">
        <v>6.0940689096309429E-5</v>
      </c>
      <c r="H129" s="18">
        <v>9.4939776413029036E-5</v>
      </c>
      <c r="I129" s="18">
        <v>0.27261373130213307</v>
      </c>
      <c r="J129" s="18">
        <v>0.1857454530780851</v>
      </c>
      <c r="K129" s="18">
        <v>4.2441676625966655E-4</v>
      </c>
      <c r="L129" s="19">
        <v>8.6110141033348721E-4</v>
      </c>
      <c r="M129" s="17">
        <v>2.3472331064965952E-3</v>
      </c>
      <c r="N129" s="18">
        <v>1.1402545638191656E-2</v>
      </c>
      <c r="O129" s="18">
        <v>4.0406272254556508E-2</v>
      </c>
      <c r="P129" s="18">
        <v>1.0960625763031108E-4</v>
      </c>
      <c r="Q129" s="18">
        <v>1.7638131561754666E-3</v>
      </c>
      <c r="R129" s="18">
        <v>3.6447396259594393E-30</v>
      </c>
      <c r="S129" s="19">
        <v>7.4985364947607047E-3</v>
      </c>
    </row>
    <row r="131" spans="2:19">
      <c r="E131" s="121" t="s">
        <v>74</v>
      </c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3"/>
    </row>
    <row r="132" spans="2:19"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</row>
    <row r="133" spans="2:19">
      <c r="E133" s="38" t="s">
        <v>15</v>
      </c>
      <c r="F133" s="40" t="s">
        <v>0</v>
      </c>
      <c r="G133" s="41" t="s">
        <v>1</v>
      </c>
      <c r="H133" s="41" t="s">
        <v>2</v>
      </c>
      <c r="I133" s="41" t="s">
        <v>3</v>
      </c>
      <c r="J133" s="41" t="s">
        <v>4</v>
      </c>
      <c r="K133" s="41" t="s">
        <v>5</v>
      </c>
      <c r="L133" s="42" t="s">
        <v>6</v>
      </c>
      <c r="M133" s="40" t="s">
        <v>7</v>
      </c>
      <c r="N133" s="41" t="s">
        <v>8</v>
      </c>
      <c r="O133" s="41" t="s">
        <v>9</v>
      </c>
      <c r="P133" s="41" t="s">
        <v>10</v>
      </c>
      <c r="Q133" s="41" t="s">
        <v>11</v>
      </c>
      <c r="R133" s="41" t="s">
        <v>12</v>
      </c>
      <c r="S133" s="42" t="s">
        <v>13</v>
      </c>
    </row>
    <row r="134" spans="2:19">
      <c r="E134" s="45" t="s">
        <v>14</v>
      </c>
      <c r="F134" s="21">
        <f>C137</f>
        <v>0</v>
      </c>
      <c r="G134" s="22">
        <f>C138</f>
        <v>0</v>
      </c>
      <c r="H134" s="22">
        <f>C139</f>
        <v>0</v>
      </c>
      <c r="I134" s="22">
        <f>C140</f>
        <v>0</v>
      </c>
      <c r="J134" s="22">
        <f>C141</f>
        <v>0</v>
      </c>
      <c r="K134" s="22">
        <f>C142</f>
        <v>0</v>
      </c>
      <c r="L134" s="23">
        <f>C143</f>
        <v>0</v>
      </c>
      <c r="M134" s="21">
        <f>C144</f>
        <v>0</v>
      </c>
      <c r="N134" s="22">
        <f>C145</f>
        <v>0</v>
      </c>
      <c r="O134" s="22">
        <f>C146</f>
        <v>0</v>
      </c>
      <c r="P134" s="22">
        <f>C147</f>
        <v>0</v>
      </c>
      <c r="Q134" s="22">
        <f>C148</f>
        <v>0</v>
      </c>
      <c r="R134" s="22">
        <f>C149</f>
        <v>0</v>
      </c>
      <c r="S134" s="23">
        <f>C150</f>
        <v>0</v>
      </c>
    </row>
    <row r="136" spans="2:19">
      <c r="C136" s="7" t="s">
        <v>14</v>
      </c>
      <c r="F136" s="40" t="s">
        <v>0</v>
      </c>
      <c r="G136" s="41" t="s">
        <v>1</v>
      </c>
      <c r="H136" s="41" t="s">
        <v>2</v>
      </c>
      <c r="I136" s="41" t="s">
        <v>3</v>
      </c>
      <c r="J136" s="41" t="s">
        <v>4</v>
      </c>
      <c r="K136" s="41" t="s">
        <v>5</v>
      </c>
      <c r="L136" s="42" t="s">
        <v>6</v>
      </c>
      <c r="M136" s="40" t="s">
        <v>7</v>
      </c>
      <c r="N136" s="41" t="s">
        <v>8</v>
      </c>
      <c r="O136" s="41" t="s">
        <v>9</v>
      </c>
      <c r="P136" s="41" t="s">
        <v>10</v>
      </c>
      <c r="Q136" s="41" t="s">
        <v>11</v>
      </c>
      <c r="R136" s="41" t="s">
        <v>12</v>
      </c>
      <c r="S136" s="42" t="s">
        <v>13</v>
      </c>
    </row>
    <row r="137" spans="2:19">
      <c r="B137" s="1" t="s">
        <v>0</v>
      </c>
      <c r="C137" s="8"/>
      <c r="E137" s="43" t="s">
        <v>0</v>
      </c>
      <c r="F137" s="11">
        <v>0.14026126800889654</v>
      </c>
      <c r="G137" s="12">
        <v>0.1167468432352997</v>
      </c>
      <c r="H137" s="12">
        <v>2.1740307871087976E-2</v>
      </c>
      <c r="I137" s="12">
        <v>0.15306566936445268</v>
      </c>
      <c r="J137" s="12">
        <v>0.17787233179361867</v>
      </c>
      <c r="K137" s="12">
        <v>6.7003316239469493E-2</v>
      </c>
      <c r="L137" s="13">
        <v>1.840491576470888E-2</v>
      </c>
      <c r="M137" s="11">
        <v>7.9352619164519099E-3</v>
      </c>
      <c r="N137" s="12">
        <v>8.7955624629744624E-3</v>
      </c>
      <c r="O137" s="12">
        <v>2.4036857119619677E-3</v>
      </c>
      <c r="P137" s="12">
        <v>1.3700318649697596E-2</v>
      </c>
      <c r="Q137" s="12">
        <v>6.1797644834138939E-3</v>
      </c>
      <c r="R137" s="12">
        <v>1.2778696141598829E-3</v>
      </c>
      <c r="S137" s="13">
        <v>6.914642486193355E-3</v>
      </c>
    </row>
    <row r="138" spans="2:19">
      <c r="B138" s="2" t="s">
        <v>1</v>
      </c>
      <c r="C138" s="9"/>
      <c r="E138" s="44" t="s">
        <v>1</v>
      </c>
      <c r="F138" s="14">
        <v>0.11989862266691011</v>
      </c>
      <c r="G138" s="15">
        <v>0.17618766228433952</v>
      </c>
      <c r="H138" s="15">
        <v>1.0528113613571087E-2</v>
      </c>
      <c r="I138" s="15">
        <v>5.7461844996925152E-2</v>
      </c>
      <c r="J138" s="15">
        <v>0.11322145905728276</v>
      </c>
      <c r="K138" s="15">
        <v>9.8536010127905777E-3</v>
      </c>
      <c r="L138" s="16">
        <v>1.4009258562161025E-3</v>
      </c>
      <c r="M138" s="14">
        <v>1.5657351992581885E-2</v>
      </c>
      <c r="N138" s="15">
        <v>6.473245563471541E-3</v>
      </c>
      <c r="O138" s="15">
        <v>7.9633832565141061E-3</v>
      </c>
      <c r="P138" s="15">
        <v>7.7788564660391239E-168</v>
      </c>
      <c r="Q138" s="15">
        <v>0</v>
      </c>
      <c r="R138" s="15">
        <v>1.8142181802172828E-2</v>
      </c>
      <c r="S138" s="16">
        <v>3.4101587071427825E-2</v>
      </c>
    </row>
    <row r="139" spans="2:19">
      <c r="B139" s="2" t="s">
        <v>2</v>
      </c>
      <c r="C139" s="9"/>
      <c r="E139" s="44" t="s">
        <v>2</v>
      </c>
      <c r="F139" s="14">
        <v>2.4281210035315311E-3</v>
      </c>
      <c r="G139" s="15">
        <v>2.0449480681321011E-3</v>
      </c>
      <c r="H139" s="15">
        <v>8.3117776472350746E-2</v>
      </c>
      <c r="I139" s="15">
        <v>1.3801756359562245E-4</v>
      </c>
      <c r="J139" s="15">
        <v>2.0474998567492127E-3</v>
      </c>
      <c r="K139" s="15">
        <v>4.0248684261340057E-4</v>
      </c>
      <c r="L139" s="16">
        <v>2.1402191864305412E-175</v>
      </c>
      <c r="M139" s="14">
        <v>1.3860077501975029E-3</v>
      </c>
      <c r="N139" s="15">
        <v>6.4990409079392747E-4</v>
      </c>
      <c r="O139" s="15">
        <v>2.056834905369962E-62</v>
      </c>
      <c r="P139" s="15">
        <v>1.0504398257554858E-2</v>
      </c>
      <c r="Q139" s="15">
        <v>2.668913162820433E-2</v>
      </c>
      <c r="R139" s="15">
        <v>1.9983093593500021E-25</v>
      </c>
      <c r="S139" s="16">
        <v>7.2350915563513618E-5</v>
      </c>
    </row>
    <row r="140" spans="2:19">
      <c r="B140" s="2" t="s">
        <v>3</v>
      </c>
      <c r="C140" s="9"/>
      <c r="E140" s="44" t="s">
        <v>3</v>
      </c>
      <c r="F140" s="14">
        <v>4.638151750245189E-3</v>
      </c>
      <c r="G140" s="15">
        <v>3.4875536188522056E-3</v>
      </c>
      <c r="H140" s="15">
        <v>8.9913460512715097E-4</v>
      </c>
      <c r="I140" s="15">
        <v>4.2029550531287413E-275</v>
      </c>
      <c r="J140" s="15">
        <v>4.3612722464489234E-178</v>
      </c>
      <c r="K140" s="15">
        <v>0.21886317131982058</v>
      </c>
      <c r="L140" s="16">
        <v>3.418496152714464E-2</v>
      </c>
      <c r="M140" s="14">
        <v>2.9682846037976189E-4</v>
      </c>
      <c r="N140" s="15">
        <v>9.1126201252986737E-5</v>
      </c>
      <c r="O140" s="15">
        <v>6.7361653210027384E-191</v>
      </c>
      <c r="P140" s="15">
        <v>2.7686698721920344E-53</v>
      </c>
      <c r="Q140" s="15">
        <v>0</v>
      </c>
      <c r="R140" s="15">
        <v>3.6975122504083184E-2</v>
      </c>
      <c r="S140" s="16">
        <v>6.6846096494880172E-2</v>
      </c>
    </row>
    <row r="141" spans="2:19">
      <c r="B141" s="2" t="s">
        <v>4</v>
      </c>
      <c r="C141" s="9"/>
      <c r="E141" s="44" t="s">
        <v>4</v>
      </c>
      <c r="F141" s="14">
        <v>3.0425140655099394E-4</v>
      </c>
      <c r="G141" s="15">
        <v>2.9771189922653404E-4</v>
      </c>
      <c r="H141" s="15">
        <v>2.4321379503122773E-2</v>
      </c>
      <c r="I141" s="15">
        <v>5.8715422032328134E-5</v>
      </c>
      <c r="J141" s="15">
        <v>5.5553004085631015E-54</v>
      </c>
      <c r="K141" s="15">
        <v>1.6504360604972752E-129</v>
      </c>
      <c r="L141" s="16">
        <v>1.5444159965120772E-211</v>
      </c>
      <c r="M141" s="14">
        <v>9.6599119868942945E-6</v>
      </c>
      <c r="N141" s="15">
        <v>5.6080137787069316E-5</v>
      </c>
      <c r="O141" s="15">
        <v>1.2486011870509225E-33</v>
      </c>
      <c r="P141" s="15">
        <v>4.8784113469483902E-3</v>
      </c>
      <c r="Q141" s="15">
        <v>5.7045687780306834E-3</v>
      </c>
      <c r="R141" s="15">
        <v>3.5995792049380818E-64</v>
      </c>
      <c r="S141" s="16">
        <v>2.4437845402739165E-182</v>
      </c>
    </row>
    <row r="142" spans="2:19">
      <c r="B142" s="2" t="s">
        <v>5</v>
      </c>
      <c r="C142" s="9"/>
      <c r="E142" s="44" t="s">
        <v>5</v>
      </c>
      <c r="F142" s="14">
        <v>2.8322921677922342E-3</v>
      </c>
      <c r="G142" s="15">
        <v>2.6517766938256816E-3</v>
      </c>
      <c r="H142" s="15">
        <v>6.1709908546795054E-2</v>
      </c>
      <c r="I142" s="15">
        <v>3.5767420946773747E-206</v>
      </c>
      <c r="J142" s="15">
        <v>1.7486300443440244E-215</v>
      </c>
      <c r="K142" s="15">
        <v>1.0883653558413174E-151</v>
      </c>
      <c r="L142" s="16">
        <v>2.1821883287672405E-187</v>
      </c>
      <c r="M142" s="14">
        <v>1.716364695426524E-5</v>
      </c>
      <c r="N142" s="15">
        <v>4.4208117172627798E-4</v>
      </c>
      <c r="O142" s="15">
        <v>4.795543413932708E-124</v>
      </c>
      <c r="P142" s="15">
        <v>1.3862076954373817E-2</v>
      </c>
      <c r="Q142" s="15">
        <v>1.1007145260421106E-2</v>
      </c>
      <c r="R142" s="15">
        <v>9.3819129090866662E-131</v>
      </c>
      <c r="S142" s="16">
        <v>1.5285877485507709E-195</v>
      </c>
    </row>
    <row r="143" spans="2:19">
      <c r="B143" s="3" t="s">
        <v>6</v>
      </c>
      <c r="C143" s="10"/>
      <c r="E143" s="45" t="s">
        <v>6</v>
      </c>
      <c r="F143" s="17">
        <v>1.8809761351720067E-3</v>
      </c>
      <c r="G143" s="18">
        <v>5.7920490291278456E-3</v>
      </c>
      <c r="H143" s="18">
        <v>2.8241469698983656E-3</v>
      </c>
      <c r="I143" s="18">
        <v>0</v>
      </c>
      <c r="J143" s="18">
        <v>0</v>
      </c>
      <c r="K143" s="18">
        <v>3.8272806293444111E-273</v>
      </c>
      <c r="L143" s="19">
        <v>0</v>
      </c>
      <c r="M143" s="17">
        <v>0</v>
      </c>
      <c r="N143" s="18">
        <v>1.6095280802770387E-5</v>
      </c>
      <c r="O143" s="18">
        <v>0</v>
      </c>
      <c r="P143" s="18">
        <v>3.8531719313226343E-3</v>
      </c>
      <c r="Q143" s="18">
        <v>3.7018559563316016E-3</v>
      </c>
      <c r="R143" s="18">
        <v>0</v>
      </c>
      <c r="S143" s="19">
        <v>7.2247644774264087E-6</v>
      </c>
    </row>
    <row r="144" spans="2:19">
      <c r="B144" s="1" t="s">
        <v>7</v>
      </c>
      <c r="C144" s="8"/>
      <c r="E144" s="43" t="s">
        <v>7</v>
      </c>
      <c r="F144" s="11">
        <v>7.1001589496343699E-3</v>
      </c>
      <c r="G144" s="12">
        <v>9.2034739938847109E-3</v>
      </c>
      <c r="H144" s="12">
        <v>1.6235263549901667E-3</v>
      </c>
      <c r="I144" s="12">
        <v>1.0219952706593738E-2</v>
      </c>
      <c r="J144" s="12">
        <v>1.2095213571114674E-4</v>
      </c>
      <c r="K144" s="12">
        <v>4.256658938387421E-4</v>
      </c>
      <c r="L144" s="13">
        <v>5.6502006066734868E-3</v>
      </c>
      <c r="M144" s="11">
        <v>0.14016539988992643</v>
      </c>
      <c r="N144" s="12">
        <v>0.11142657317655388</v>
      </c>
      <c r="O144" s="12">
        <v>1.5532846969554011E-2</v>
      </c>
      <c r="P144" s="12">
        <v>0.19195491407934506</v>
      </c>
      <c r="Q144" s="12">
        <v>0.20249813067305433</v>
      </c>
      <c r="R144" s="12">
        <v>4.5647916649120567E-2</v>
      </c>
      <c r="S144" s="13">
        <v>1.0782255854447724E-2</v>
      </c>
    </row>
    <row r="145" spans="2:25">
      <c r="B145" s="2" t="s">
        <v>8</v>
      </c>
      <c r="C145" s="9"/>
      <c r="E145" s="44" t="s">
        <v>8</v>
      </c>
      <c r="F145" s="14">
        <v>1.5468067156873766E-2</v>
      </c>
      <c r="G145" s="15">
        <v>6.0430933600578501E-3</v>
      </c>
      <c r="H145" s="15">
        <v>6.6286374780338796E-3</v>
      </c>
      <c r="I145" s="15">
        <v>1.2577665403425494E-96</v>
      </c>
      <c r="J145" s="15">
        <v>0</v>
      </c>
      <c r="K145" s="15">
        <v>1.9622126186460559E-2</v>
      </c>
      <c r="L145" s="16">
        <v>3.8404590108797286E-2</v>
      </c>
      <c r="M145" s="14">
        <v>0.12846060779700497</v>
      </c>
      <c r="N145" s="15">
        <v>0.17379616136692708</v>
      </c>
      <c r="O145" s="15">
        <v>9.033542805895604E-3</v>
      </c>
      <c r="P145" s="15">
        <v>6.2941682574681912E-2</v>
      </c>
      <c r="Q145" s="15">
        <v>0.11456401409133504</v>
      </c>
      <c r="R145" s="15">
        <v>1.5345854980559036E-2</v>
      </c>
      <c r="S145" s="16">
        <v>2.0725578743728437E-3</v>
      </c>
    </row>
    <row r="146" spans="2:25">
      <c r="B146" s="2" t="s">
        <v>9</v>
      </c>
      <c r="C146" s="9"/>
      <c r="E146" s="44" t="s">
        <v>9</v>
      </c>
      <c r="F146" s="14">
        <v>1.4103013821323478E-3</v>
      </c>
      <c r="G146" s="15">
        <v>5.6976025172133691E-4</v>
      </c>
      <c r="H146" s="15">
        <v>3.0109678337130612E-130</v>
      </c>
      <c r="I146" s="15">
        <v>9.3806264039350846E-3</v>
      </c>
      <c r="J146" s="15">
        <v>2.5225662249375502E-2</v>
      </c>
      <c r="K146" s="15">
        <v>2.3207753764461182E-4</v>
      </c>
      <c r="L146" s="16">
        <v>1.7652594534999454E-68</v>
      </c>
      <c r="M146" s="14">
        <v>2.722073178546306E-3</v>
      </c>
      <c r="N146" s="15">
        <v>1.7105133725645216E-3</v>
      </c>
      <c r="O146" s="15">
        <v>8.7931918000715037E-2</v>
      </c>
      <c r="P146" s="15">
        <v>1.735107503142352E-22</v>
      </c>
      <c r="Q146" s="15">
        <v>1.7698769559846934E-3</v>
      </c>
      <c r="R146" s="15">
        <v>4.3945238303883639E-4</v>
      </c>
      <c r="S146" s="16">
        <v>2.1369166894925987E-280</v>
      </c>
    </row>
    <row r="147" spans="2:25">
      <c r="B147" s="2" t="s">
        <v>10</v>
      </c>
      <c r="C147" s="9"/>
      <c r="E147" s="44" t="s">
        <v>10</v>
      </c>
      <c r="F147" s="14">
        <v>1.0588982712582392E-5</v>
      </c>
      <c r="G147" s="15">
        <v>7.2329179475430521E-5</v>
      </c>
      <c r="H147" s="15">
        <v>3.3071833745191995E-5</v>
      </c>
      <c r="I147" s="15">
        <v>4.3163826822991266E-130</v>
      </c>
      <c r="J147" s="15">
        <v>5.6319231876483638E-5</v>
      </c>
      <c r="K147" s="15">
        <v>4.0186005363887611E-2</v>
      </c>
      <c r="L147" s="16">
        <v>7.1059413472813998E-2</v>
      </c>
      <c r="M147" s="14">
        <v>3.9078719724044645E-3</v>
      </c>
      <c r="N147" s="15">
        <v>3.4163520344904228E-3</v>
      </c>
      <c r="O147" s="15">
        <v>6.5801805113784321E-4</v>
      </c>
      <c r="P147" s="15">
        <v>6.33502645340355E-5</v>
      </c>
      <c r="Q147" s="15">
        <v>2.8209937319154168E-257</v>
      </c>
      <c r="R147" s="15">
        <v>0.21503106647052783</v>
      </c>
      <c r="S147" s="16">
        <v>2.715798617923483E-2</v>
      </c>
    </row>
    <row r="148" spans="2:25">
      <c r="B148" s="2" t="s">
        <v>11</v>
      </c>
      <c r="C148" s="9"/>
      <c r="E148" s="44" t="s">
        <v>11</v>
      </c>
      <c r="F148" s="14">
        <v>1.0133857220567831E-64</v>
      </c>
      <c r="G148" s="15">
        <v>4.3621398880519632E-5</v>
      </c>
      <c r="H148" s="15">
        <v>1.1215459442095432E-4</v>
      </c>
      <c r="I148" s="15">
        <v>4.7520420118193647E-3</v>
      </c>
      <c r="J148" s="15">
        <v>8.3733005941507808E-3</v>
      </c>
      <c r="K148" s="15">
        <v>1.3264507743825091E-4</v>
      </c>
      <c r="L148" s="16">
        <v>6.6442663212025244E-155</v>
      </c>
      <c r="M148" s="14">
        <v>3.0500866054579005E-4</v>
      </c>
      <c r="N148" s="15">
        <v>2.873597531812055E-4</v>
      </c>
      <c r="O148" s="15">
        <v>1.9275509769210865E-2</v>
      </c>
      <c r="P148" s="15">
        <v>9.7099127084818973E-6</v>
      </c>
      <c r="Q148" s="15">
        <v>9.7723632750238767E-255</v>
      </c>
      <c r="R148" s="15">
        <v>1.5312221909171637E-4</v>
      </c>
      <c r="S148" s="16">
        <v>4.4644772965741958E-218</v>
      </c>
    </row>
    <row r="149" spans="2:25">
      <c r="B149" s="2" t="s">
        <v>12</v>
      </c>
      <c r="C149" s="9"/>
      <c r="E149" s="44" t="s">
        <v>12</v>
      </c>
      <c r="F149" s="14">
        <v>1.1907282828776713E-5</v>
      </c>
      <c r="G149" s="15">
        <v>2.3640467842386863E-4</v>
      </c>
      <c r="H149" s="15">
        <v>7.515932843394202E-5</v>
      </c>
      <c r="I149" s="15">
        <v>1.149638933161835E-2</v>
      </c>
      <c r="J149" s="15">
        <v>1.5957629274357857E-2</v>
      </c>
      <c r="K149" s="15">
        <v>1.2715531007374772E-40</v>
      </c>
      <c r="L149" s="16">
        <v>8.03247937351013E-152</v>
      </c>
      <c r="M149" s="14">
        <v>3.1675834128177364E-3</v>
      </c>
      <c r="N149" s="15">
        <v>2.1128868801039281E-3</v>
      </c>
      <c r="O149" s="15">
        <v>5.7222427867267958E-2</v>
      </c>
      <c r="P149" s="15">
        <v>4.4931711306263801E-154</v>
      </c>
      <c r="Q149" s="15">
        <v>6.2593774429223375E-155</v>
      </c>
      <c r="R149" s="15">
        <v>1.1202423375759198E-37</v>
      </c>
      <c r="S149" s="16">
        <v>6.5183751088451645E-158</v>
      </c>
    </row>
    <row r="150" spans="2:25">
      <c r="B150" s="3" t="s">
        <v>13</v>
      </c>
      <c r="C150" s="10"/>
      <c r="E150" s="45" t="s">
        <v>13</v>
      </c>
      <c r="F150" s="17">
        <v>0</v>
      </c>
      <c r="G150" s="18">
        <v>5.8837387331178855E-5</v>
      </c>
      <c r="H150" s="18">
        <v>0</v>
      </c>
      <c r="I150" s="18">
        <v>4.2740123233579886E-3</v>
      </c>
      <c r="J150" s="18">
        <v>7.9354194249181241E-3</v>
      </c>
      <c r="K150" s="18">
        <v>5.3664097589446217E-293</v>
      </c>
      <c r="L150" s="19">
        <v>0</v>
      </c>
      <c r="M150" s="17">
        <v>1.9458205317493646E-3</v>
      </c>
      <c r="N150" s="18">
        <v>5.5860325047780417E-3</v>
      </c>
      <c r="O150" s="18">
        <v>3.1912028696750062E-3</v>
      </c>
      <c r="P150" s="18">
        <v>6.0575597880207997E-5</v>
      </c>
      <c r="Q150" s="18">
        <v>0</v>
      </c>
      <c r="R150" s="18">
        <v>0</v>
      </c>
      <c r="S150" s="19">
        <v>0</v>
      </c>
    </row>
    <row r="152" spans="2:25">
      <c r="E152" s="121" t="s">
        <v>69</v>
      </c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3"/>
      <c r="V152" s="53">
        <f>Y152/$C$19</f>
        <v>14.940816713897018</v>
      </c>
      <c r="X152" s="52" t="s">
        <v>19</v>
      </c>
      <c r="Y152" s="50">
        <f>SUM(Y155:Y168)</f>
        <v>860551</v>
      </c>
    </row>
    <row r="154" spans="2:25">
      <c r="E154" s="150" t="s">
        <v>20</v>
      </c>
      <c r="F154" s="88" t="s">
        <v>0</v>
      </c>
      <c r="G154" s="89" t="s">
        <v>1</v>
      </c>
      <c r="H154" s="89" t="s">
        <v>2</v>
      </c>
      <c r="I154" s="89" t="s">
        <v>3</v>
      </c>
      <c r="J154" s="89" t="s">
        <v>4</v>
      </c>
      <c r="K154" s="89" t="s">
        <v>5</v>
      </c>
      <c r="L154" s="90" t="s">
        <v>6</v>
      </c>
      <c r="M154" s="89" t="s">
        <v>7</v>
      </c>
      <c r="N154" s="89" t="s">
        <v>8</v>
      </c>
      <c r="O154" s="89" t="s">
        <v>9</v>
      </c>
      <c r="P154" s="89" t="s">
        <v>10</v>
      </c>
      <c r="Q154" s="89" t="s">
        <v>11</v>
      </c>
      <c r="R154" s="89" t="s">
        <v>12</v>
      </c>
      <c r="S154" s="90" t="s">
        <v>13</v>
      </c>
      <c r="U154" s="39" t="s">
        <v>15</v>
      </c>
      <c r="V154" s="39" t="s">
        <v>17</v>
      </c>
      <c r="X154" s="150"/>
      <c r="Y154" s="39" t="s">
        <v>20</v>
      </c>
    </row>
    <row r="155" spans="2:25">
      <c r="E155" s="91" t="s">
        <v>0</v>
      </c>
      <c r="F155" s="54">
        <v>69787</v>
      </c>
      <c r="G155" s="55">
        <v>58576</v>
      </c>
      <c r="H155" s="55">
        <v>4298</v>
      </c>
      <c r="I155" s="55">
        <v>7814</v>
      </c>
      <c r="J155" s="55">
        <v>821</v>
      </c>
      <c r="K155" s="55">
        <v>2651</v>
      </c>
      <c r="L155" s="56">
        <v>2151</v>
      </c>
      <c r="M155" s="54">
        <v>17269</v>
      </c>
      <c r="N155" s="55">
        <v>25144</v>
      </c>
      <c r="O155" s="55">
        <v>1922</v>
      </c>
      <c r="P155" s="55">
        <v>1346</v>
      </c>
      <c r="Q155" s="55">
        <v>147</v>
      </c>
      <c r="R155" s="55">
        <v>624</v>
      </c>
      <c r="S155" s="56">
        <v>1195</v>
      </c>
      <c r="U155" s="43" t="s">
        <v>0</v>
      </c>
      <c r="V155" s="8">
        <f>Y155/$C$19</f>
        <v>3.3638023487866398</v>
      </c>
      <c r="X155" s="43" t="s">
        <v>0</v>
      </c>
      <c r="Y155" s="46">
        <v>193746</v>
      </c>
    </row>
    <row r="156" spans="2:25">
      <c r="E156" s="92" t="s">
        <v>1</v>
      </c>
      <c r="F156" s="57">
        <v>60727</v>
      </c>
      <c r="G156" s="58">
        <v>67425</v>
      </c>
      <c r="H156" s="58">
        <v>2874</v>
      </c>
      <c r="I156" s="58">
        <v>4720</v>
      </c>
      <c r="J156" s="58">
        <v>546</v>
      </c>
      <c r="K156" s="58">
        <v>1004</v>
      </c>
      <c r="L156" s="59">
        <v>1158</v>
      </c>
      <c r="M156" s="57">
        <v>27216</v>
      </c>
      <c r="N156" s="58">
        <v>17231</v>
      </c>
      <c r="O156" s="58">
        <v>1038</v>
      </c>
      <c r="P156" s="58">
        <v>5</v>
      </c>
      <c r="Q156" s="58">
        <v>1</v>
      </c>
      <c r="R156" s="58">
        <v>634</v>
      </c>
      <c r="S156" s="59">
        <v>1273</v>
      </c>
      <c r="U156" s="44" t="s">
        <v>1</v>
      </c>
      <c r="V156" s="9">
        <f t="shared" ref="V156:V168" si="0">Y156/$C$19</f>
        <v>3.2267473605994166</v>
      </c>
      <c r="X156" s="44" t="s">
        <v>1</v>
      </c>
      <c r="Y156" s="47">
        <v>185852</v>
      </c>
    </row>
    <row r="157" spans="2:25">
      <c r="E157" s="92" t="s">
        <v>2</v>
      </c>
      <c r="F157" s="57">
        <v>3444</v>
      </c>
      <c r="G157" s="58">
        <v>2875</v>
      </c>
      <c r="H157" s="58">
        <v>1937</v>
      </c>
      <c r="I157" s="58">
        <v>54</v>
      </c>
      <c r="J157" s="58">
        <v>6</v>
      </c>
      <c r="K157" s="58">
        <v>34</v>
      </c>
      <c r="L157" s="59">
        <v>20</v>
      </c>
      <c r="M157" s="57">
        <v>3610</v>
      </c>
      <c r="N157" s="58">
        <v>2587</v>
      </c>
      <c r="O157" s="58">
        <v>84</v>
      </c>
      <c r="P157" s="58">
        <v>317</v>
      </c>
      <c r="Q157" s="58">
        <v>102</v>
      </c>
      <c r="R157" s="58">
        <v>17</v>
      </c>
      <c r="S157" s="59">
        <v>23</v>
      </c>
      <c r="U157" s="44" t="s">
        <v>2</v>
      </c>
      <c r="V157" s="9">
        <f t="shared" si="0"/>
        <v>0.26233859532669646</v>
      </c>
      <c r="X157" s="44" t="s">
        <v>2</v>
      </c>
      <c r="Y157" s="47">
        <v>15110</v>
      </c>
    </row>
    <row r="158" spans="2:25">
      <c r="E158" s="92" t="s">
        <v>3</v>
      </c>
      <c r="F158" s="57">
        <v>4629</v>
      </c>
      <c r="G158" s="58">
        <v>3171</v>
      </c>
      <c r="H158" s="58">
        <v>226</v>
      </c>
      <c r="I158" s="58">
        <v>3</v>
      </c>
      <c r="J158" s="58"/>
      <c r="K158" s="58">
        <v>3413</v>
      </c>
      <c r="L158" s="59">
        <v>609</v>
      </c>
      <c r="M158" s="57">
        <v>1719</v>
      </c>
      <c r="N158" s="58">
        <v>1272</v>
      </c>
      <c r="O158" s="58">
        <v>16</v>
      </c>
      <c r="P158" s="58">
        <v>16</v>
      </c>
      <c r="Q158" s="58"/>
      <c r="R158" s="58">
        <v>819</v>
      </c>
      <c r="S158" s="59">
        <v>1926</v>
      </c>
      <c r="U158" s="44" t="s">
        <v>3</v>
      </c>
      <c r="V158" s="9">
        <f t="shared" si="0"/>
        <v>0.30937203376084738</v>
      </c>
      <c r="X158" s="44" t="s">
        <v>3</v>
      </c>
      <c r="Y158" s="47">
        <v>17819</v>
      </c>
    </row>
    <row r="159" spans="2:25">
      <c r="E159" s="92" t="s">
        <v>4</v>
      </c>
      <c r="F159" s="57">
        <v>350</v>
      </c>
      <c r="G159" s="58">
        <v>408</v>
      </c>
      <c r="H159" s="58">
        <v>480</v>
      </c>
      <c r="I159" s="58">
        <v>5</v>
      </c>
      <c r="J159" s="58"/>
      <c r="K159" s="58"/>
      <c r="L159" s="59"/>
      <c r="M159" s="57">
        <v>190</v>
      </c>
      <c r="N159" s="58">
        <v>232</v>
      </c>
      <c r="O159" s="58">
        <v>1</v>
      </c>
      <c r="P159" s="58">
        <v>179</v>
      </c>
      <c r="Q159" s="58">
        <v>25</v>
      </c>
      <c r="R159" s="58">
        <v>2</v>
      </c>
      <c r="S159" s="59"/>
      <c r="U159" s="44" t="s">
        <v>4</v>
      </c>
      <c r="V159" s="9">
        <f t="shared" si="0"/>
        <v>3.2501512273433203E-2</v>
      </c>
      <c r="X159" s="44" t="s">
        <v>4</v>
      </c>
      <c r="Y159" s="47">
        <v>1872</v>
      </c>
    </row>
    <row r="160" spans="2:25">
      <c r="E160" s="92" t="s">
        <v>5</v>
      </c>
      <c r="F160" s="57">
        <v>2170</v>
      </c>
      <c r="G160" s="58">
        <v>2362</v>
      </c>
      <c r="H160" s="58">
        <v>1683</v>
      </c>
      <c r="I160" s="58">
        <v>12</v>
      </c>
      <c r="J160" s="58"/>
      <c r="K160" s="58">
        <v>2</v>
      </c>
      <c r="L160" s="59"/>
      <c r="M160" s="57">
        <v>647</v>
      </c>
      <c r="N160" s="58">
        <v>1177</v>
      </c>
      <c r="O160" s="58">
        <v>15</v>
      </c>
      <c r="P160" s="58">
        <v>1102</v>
      </c>
      <c r="Q160" s="58">
        <v>80</v>
      </c>
      <c r="R160" s="58">
        <v>5</v>
      </c>
      <c r="S160" s="59">
        <v>2</v>
      </c>
      <c r="U160" s="44" t="s">
        <v>5</v>
      </c>
      <c r="V160" s="9">
        <f t="shared" si="0"/>
        <v>0.16071928371536923</v>
      </c>
      <c r="X160" s="44" t="s">
        <v>5</v>
      </c>
      <c r="Y160" s="47">
        <v>9257</v>
      </c>
    </row>
    <row r="161" spans="5:25">
      <c r="E161" s="93" t="s">
        <v>6</v>
      </c>
      <c r="F161" s="60">
        <v>1562</v>
      </c>
      <c r="G161" s="61">
        <v>2901</v>
      </c>
      <c r="H161" s="61">
        <v>436</v>
      </c>
      <c r="I161" s="61">
        <v>1</v>
      </c>
      <c r="J161" s="61"/>
      <c r="K161" s="61">
        <v>1</v>
      </c>
      <c r="L161" s="62"/>
      <c r="M161" s="60"/>
      <c r="N161" s="61">
        <v>1038</v>
      </c>
      <c r="O161" s="61">
        <v>2</v>
      </c>
      <c r="P161" s="61">
        <v>1629</v>
      </c>
      <c r="Q161" s="61">
        <v>117</v>
      </c>
      <c r="R161" s="61"/>
      <c r="S161" s="62"/>
      <c r="U161" s="45" t="s">
        <v>6</v>
      </c>
      <c r="V161" s="10">
        <f t="shared" si="0"/>
        <v>0.13346107096468005</v>
      </c>
      <c r="X161" s="45" t="s">
        <v>6</v>
      </c>
      <c r="Y161" s="48">
        <v>7687</v>
      </c>
    </row>
    <row r="162" spans="5:25">
      <c r="E162" s="92" t="s">
        <v>7</v>
      </c>
      <c r="F162" s="63">
        <v>16982</v>
      </c>
      <c r="G162" s="64">
        <v>25018</v>
      </c>
      <c r="H162" s="64">
        <v>1967</v>
      </c>
      <c r="I162" s="64">
        <v>1565</v>
      </c>
      <c r="J162" s="64">
        <v>133</v>
      </c>
      <c r="K162" s="64">
        <v>647</v>
      </c>
      <c r="L162" s="65">
        <v>881</v>
      </c>
      <c r="M162" s="63">
        <v>67528</v>
      </c>
      <c r="N162" s="64">
        <v>58241</v>
      </c>
      <c r="O162" s="64">
        <v>4399</v>
      </c>
      <c r="P162" s="64">
        <v>7579</v>
      </c>
      <c r="Q162" s="64">
        <v>855</v>
      </c>
      <c r="R162" s="64">
        <v>2421</v>
      </c>
      <c r="S162" s="65">
        <v>2019</v>
      </c>
      <c r="U162" s="43" t="s">
        <v>7</v>
      </c>
      <c r="V162" s="8">
        <f t="shared" si="0"/>
        <v>3.3028446513550032</v>
      </c>
      <c r="X162" s="43" t="s">
        <v>7</v>
      </c>
      <c r="Y162" s="46">
        <v>190235</v>
      </c>
    </row>
    <row r="163" spans="5:25">
      <c r="E163" s="92" t="s">
        <v>8</v>
      </c>
      <c r="F163" s="66">
        <v>27916</v>
      </c>
      <c r="G163" s="67">
        <v>16774</v>
      </c>
      <c r="H163" s="67">
        <v>1063</v>
      </c>
      <c r="I163" s="67"/>
      <c r="J163" s="67"/>
      <c r="K163" s="67">
        <v>662</v>
      </c>
      <c r="L163" s="68">
        <v>1176</v>
      </c>
      <c r="M163" s="66">
        <v>60362</v>
      </c>
      <c r="N163" s="67">
        <v>67761</v>
      </c>
      <c r="O163" s="67">
        <v>3123</v>
      </c>
      <c r="P163" s="67">
        <v>4671</v>
      </c>
      <c r="Q163" s="67">
        <v>526</v>
      </c>
      <c r="R163" s="67">
        <v>1099</v>
      </c>
      <c r="S163" s="68">
        <v>1426</v>
      </c>
      <c r="U163" s="44" t="s">
        <v>8</v>
      </c>
      <c r="V163" s="9">
        <f t="shared" si="0"/>
        <v>3.2390222372967017</v>
      </c>
      <c r="X163" s="44" t="s">
        <v>8</v>
      </c>
      <c r="Y163" s="47">
        <v>186559</v>
      </c>
    </row>
    <row r="164" spans="5:25">
      <c r="E164" s="92" t="s">
        <v>9</v>
      </c>
      <c r="F164" s="66">
        <v>3799</v>
      </c>
      <c r="G164" s="67">
        <v>2570</v>
      </c>
      <c r="H164" s="67">
        <v>90</v>
      </c>
      <c r="I164" s="67">
        <v>314</v>
      </c>
      <c r="J164" s="67">
        <v>117</v>
      </c>
      <c r="K164" s="67">
        <v>21</v>
      </c>
      <c r="L164" s="68">
        <v>18</v>
      </c>
      <c r="M164" s="66">
        <v>3737</v>
      </c>
      <c r="N164" s="67">
        <v>2942</v>
      </c>
      <c r="O164" s="67">
        <v>2236</v>
      </c>
      <c r="P164" s="67">
        <v>30</v>
      </c>
      <c r="Q164" s="67">
        <v>7</v>
      </c>
      <c r="R164" s="67">
        <v>32</v>
      </c>
      <c r="S164" s="68">
        <v>13</v>
      </c>
      <c r="U164" s="44" t="s">
        <v>9</v>
      </c>
      <c r="V164" s="9">
        <f t="shared" si="0"/>
        <v>0.27650592118947503</v>
      </c>
      <c r="X164" s="44" t="s">
        <v>9</v>
      </c>
      <c r="Y164" s="47">
        <v>15926</v>
      </c>
    </row>
    <row r="165" spans="5:25">
      <c r="E165" s="92" t="s">
        <v>10</v>
      </c>
      <c r="F165" s="66">
        <v>1588</v>
      </c>
      <c r="G165" s="67">
        <v>1127</v>
      </c>
      <c r="H165" s="67">
        <v>21</v>
      </c>
      <c r="I165" s="67">
        <v>20</v>
      </c>
      <c r="J165" s="67">
        <v>1</v>
      </c>
      <c r="K165" s="67">
        <v>804</v>
      </c>
      <c r="L165" s="68">
        <v>1672</v>
      </c>
      <c r="M165" s="66">
        <v>3906</v>
      </c>
      <c r="N165" s="67">
        <v>3266</v>
      </c>
      <c r="O165" s="67">
        <v>324</v>
      </c>
      <c r="P165" s="67">
        <v>13</v>
      </c>
      <c r="Q165" s="67"/>
      <c r="R165" s="67">
        <v>3536</v>
      </c>
      <c r="S165" s="68">
        <v>636</v>
      </c>
      <c r="U165" s="44" t="s">
        <v>10</v>
      </c>
      <c r="V165" s="9">
        <f t="shared" si="0"/>
        <v>0.29365949711156475</v>
      </c>
      <c r="X165" s="44" t="s">
        <v>10</v>
      </c>
      <c r="Y165" s="47">
        <v>16914</v>
      </c>
    </row>
    <row r="166" spans="5:25">
      <c r="E166" s="92" t="s">
        <v>11</v>
      </c>
      <c r="F166" s="66">
        <v>184</v>
      </c>
      <c r="G166" s="67">
        <v>229</v>
      </c>
      <c r="H166" s="67">
        <v>5</v>
      </c>
      <c r="I166" s="67">
        <v>214</v>
      </c>
      <c r="J166" s="67">
        <v>38</v>
      </c>
      <c r="K166" s="67">
        <v>5</v>
      </c>
      <c r="L166" s="68"/>
      <c r="M166" s="66">
        <v>350</v>
      </c>
      <c r="N166" s="67">
        <v>395</v>
      </c>
      <c r="O166" s="67">
        <v>438</v>
      </c>
      <c r="P166" s="67">
        <v>2</v>
      </c>
      <c r="Q166" s="67"/>
      <c r="R166" s="67">
        <v>2</v>
      </c>
      <c r="S166" s="68"/>
      <c r="U166" s="44" t="s">
        <v>11</v>
      </c>
      <c r="V166" s="9">
        <f t="shared" si="0"/>
        <v>3.2327893083938367E-2</v>
      </c>
      <c r="X166" s="44" t="s">
        <v>11</v>
      </c>
      <c r="Y166" s="47">
        <v>1862</v>
      </c>
    </row>
    <row r="167" spans="5:25">
      <c r="E167" s="92" t="s">
        <v>12</v>
      </c>
      <c r="F167" s="66">
        <v>606</v>
      </c>
      <c r="G167" s="67">
        <v>1204</v>
      </c>
      <c r="H167" s="67">
        <v>23</v>
      </c>
      <c r="I167" s="67">
        <v>1045</v>
      </c>
      <c r="J167" s="67">
        <v>99</v>
      </c>
      <c r="K167" s="67">
        <v>9</v>
      </c>
      <c r="L167" s="68">
        <v>2</v>
      </c>
      <c r="M167" s="66">
        <v>2200</v>
      </c>
      <c r="N167" s="67">
        <v>2197</v>
      </c>
      <c r="O167" s="67">
        <v>1791</v>
      </c>
      <c r="P167" s="67">
        <v>14</v>
      </c>
      <c r="Q167" s="67">
        <v>1</v>
      </c>
      <c r="R167" s="67">
        <v>5</v>
      </c>
      <c r="S167" s="68">
        <v>1</v>
      </c>
      <c r="U167" s="44" t="s">
        <v>12</v>
      </c>
      <c r="V167" s="9">
        <f t="shared" si="0"/>
        <v>0.15967756857840021</v>
      </c>
      <c r="X167" s="44" t="s">
        <v>12</v>
      </c>
      <c r="Y167" s="47">
        <v>9197</v>
      </c>
    </row>
    <row r="168" spans="5:25">
      <c r="E168" s="93" t="s">
        <v>13</v>
      </c>
      <c r="F168" s="69">
        <v>2</v>
      </c>
      <c r="G168" s="70">
        <v>1212</v>
      </c>
      <c r="H168" s="70">
        <v>7</v>
      </c>
      <c r="I168" s="70">
        <v>2052</v>
      </c>
      <c r="J168" s="70">
        <v>111</v>
      </c>
      <c r="K168" s="70">
        <v>4</v>
      </c>
      <c r="L168" s="71"/>
      <c r="M168" s="69">
        <v>1501</v>
      </c>
      <c r="N168" s="70">
        <v>3075</v>
      </c>
      <c r="O168" s="70">
        <v>537</v>
      </c>
      <c r="P168" s="70">
        <v>11</v>
      </c>
      <c r="Q168" s="70">
        <v>1</v>
      </c>
      <c r="R168" s="70">
        <v>1</v>
      </c>
      <c r="S168" s="71">
        <v>1</v>
      </c>
      <c r="U168" s="45" t="s">
        <v>13</v>
      </c>
      <c r="V168" s="10">
        <f t="shared" si="0"/>
        <v>0.14783673985485243</v>
      </c>
      <c r="X168" s="45" t="s">
        <v>13</v>
      </c>
      <c r="Y168" s="48">
        <v>8515</v>
      </c>
    </row>
    <row r="170" spans="5:25">
      <c r="E170" s="121" t="s">
        <v>70</v>
      </c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3"/>
    </row>
    <row r="172" spans="5:25">
      <c r="E172" s="150" t="s">
        <v>20</v>
      </c>
      <c r="F172" s="40" t="s">
        <v>0</v>
      </c>
      <c r="G172" s="41" t="s">
        <v>1</v>
      </c>
      <c r="H172" s="41" t="s">
        <v>2</v>
      </c>
      <c r="I172" s="41" t="s">
        <v>3</v>
      </c>
      <c r="J172" s="41" t="s">
        <v>4</v>
      </c>
      <c r="K172" s="41" t="s">
        <v>5</v>
      </c>
      <c r="L172" s="42" t="s">
        <v>6</v>
      </c>
      <c r="M172" s="40" t="s">
        <v>7</v>
      </c>
      <c r="N172" s="41" t="s">
        <v>8</v>
      </c>
      <c r="O172" s="41" t="s">
        <v>9</v>
      </c>
      <c r="P172" s="41" t="s">
        <v>10</v>
      </c>
      <c r="Q172" s="41" t="s">
        <v>11</v>
      </c>
      <c r="R172" s="41" t="s">
        <v>12</v>
      </c>
      <c r="S172" s="42" t="s">
        <v>13</v>
      </c>
    </row>
    <row r="173" spans="5:25">
      <c r="E173" s="43" t="s">
        <v>0</v>
      </c>
      <c r="F173" s="103">
        <v>6.0231215531459596E-2</v>
      </c>
      <c r="G173" s="104">
        <v>4.4966524842255953E-2</v>
      </c>
      <c r="H173" s="104">
        <v>2.9151673378780798E-2</v>
      </c>
      <c r="I173" s="104">
        <v>5.6023768392628424E-3</v>
      </c>
      <c r="J173" s="104">
        <v>4.1292455542021926E-4</v>
      </c>
      <c r="K173" s="104">
        <v>3.4912809249339899E-3</v>
      </c>
      <c r="L173" s="105">
        <v>1.1445646084611797E-2</v>
      </c>
      <c r="M173" s="103">
        <v>0.18961470871445837</v>
      </c>
      <c r="N173" s="104">
        <v>0.13235903247120623</v>
      </c>
      <c r="O173" s="104">
        <v>7.2780798815816811E-2</v>
      </c>
      <c r="P173" s="104">
        <v>9.3827023105497766E-3</v>
      </c>
      <c r="Q173" s="104">
        <v>3.6992906122448974E-4</v>
      </c>
      <c r="R173" s="104">
        <v>1.0171424150641031E-2</v>
      </c>
      <c r="S173" s="105">
        <v>1.9853119266945642E-2</v>
      </c>
    </row>
    <row r="174" spans="5:25">
      <c r="E174" s="44" t="s">
        <v>1</v>
      </c>
      <c r="F174" s="106">
        <v>4.6974100437465978E-2</v>
      </c>
      <c r="G174" s="107">
        <v>2.7703674278413189E-2</v>
      </c>
      <c r="H174" s="107">
        <v>2.0489990942936666E-2</v>
      </c>
      <c r="I174" s="107">
        <v>3.2405566131355926E-3</v>
      </c>
      <c r="J174" s="107">
        <v>3.9168841025641023E-4</v>
      </c>
      <c r="K174" s="107">
        <v>6.1758821015936247E-3</v>
      </c>
      <c r="L174" s="108">
        <v>1.5340614286701198E-2</v>
      </c>
      <c r="M174" s="106">
        <v>0.12787970154644338</v>
      </c>
      <c r="N174" s="107">
        <v>7.5664755399802719E-2</v>
      </c>
      <c r="O174" s="107">
        <v>7.2753621894027024E-2</v>
      </c>
      <c r="P174" s="107">
        <v>2.407156E-4</v>
      </c>
      <c r="Q174" s="107">
        <v>2.8579800000000003E-4</v>
      </c>
      <c r="R174" s="107">
        <v>5.7978236750788658E-3</v>
      </c>
      <c r="S174" s="108">
        <v>1.4911409607227028E-2</v>
      </c>
    </row>
    <row r="175" spans="5:25">
      <c r="E175" s="44" t="s">
        <v>2</v>
      </c>
      <c r="F175" s="106">
        <v>0.27643533326364744</v>
      </c>
      <c r="G175" s="107">
        <v>0.21472014165913073</v>
      </c>
      <c r="H175" s="107">
        <v>2.9176793050077456E-2</v>
      </c>
      <c r="I175" s="107">
        <v>5.8216622814814802E-2</v>
      </c>
      <c r="J175" s="107">
        <v>1.5770633333333335E-4</v>
      </c>
      <c r="K175" s="107">
        <v>6.9644849176470597E-2</v>
      </c>
      <c r="L175" s="108">
        <v>0.15739487660000001</v>
      </c>
      <c r="M175" s="106">
        <v>0.32613952399002827</v>
      </c>
      <c r="N175" s="107">
        <v>0.23205190757788935</v>
      </c>
      <c r="O175" s="107">
        <v>0.52515499745238114</v>
      </c>
      <c r="P175" s="107">
        <v>1.1510150018927445E-2</v>
      </c>
      <c r="Q175" s="107">
        <v>5.5390074509803933E-4</v>
      </c>
      <c r="R175" s="107">
        <v>1.0127871999999998E-2</v>
      </c>
      <c r="S175" s="108">
        <v>8.5790592956521736E-2</v>
      </c>
    </row>
    <row r="176" spans="5:25">
      <c r="E176" s="44" t="s">
        <v>3</v>
      </c>
      <c r="F176" s="106">
        <v>6.7778516615251805E-2</v>
      </c>
      <c r="G176" s="107">
        <v>5.3886256932198055E-2</v>
      </c>
      <c r="H176" s="107">
        <v>2.1450028964601759E-2</v>
      </c>
      <c r="I176" s="107">
        <v>5.5027999999999996E-5</v>
      </c>
      <c r="J176" s="107"/>
      <c r="K176" s="107">
        <v>2.3572030090829158E-3</v>
      </c>
      <c r="L176" s="108">
        <v>1.4230677563218387E-2</v>
      </c>
      <c r="M176" s="106">
        <v>0.11687081671785926</v>
      </c>
      <c r="N176" s="107">
        <v>9.9003541586478019E-2</v>
      </c>
      <c r="O176" s="107">
        <v>0.15284239287499998</v>
      </c>
      <c r="P176" s="107">
        <v>6.8625250000000005E-5</v>
      </c>
      <c r="Q176" s="107"/>
      <c r="R176" s="107">
        <v>1.0497854561660573E-2</v>
      </c>
      <c r="S176" s="108">
        <v>1.6823835330218074E-2</v>
      </c>
    </row>
    <row r="177" spans="5:19">
      <c r="E177" s="44" t="s">
        <v>4</v>
      </c>
      <c r="F177" s="106">
        <v>0.10984165141142863</v>
      </c>
      <c r="G177" s="107">
        <v>0.11395078967156852</v>
      </c>
      <c r="H177" s="107">
        <v>1.1489932479166682E-2</v>
      </c>
      <c r="I177" s="107">
        <v>1.9000370000000003E-2</v>
      </c>
      <c r="J177" s="107"/>
      <c r="K177" s="107"/>
      <c r="L177" s="108"/>
      <c r="M177" s="106">
        <v>0.25292488681052611</v>
      </c>
      <c r="N177" s="107">
        <v>0.17229655764655186</v>
      </c>
      <c r="O177" s="107">
        <v>7.4312000000000003E-5</v>
      </c>
      <c r="P177" s="107">
        <v>1.868139879329609E-2</v>
      </c>
      <c r="Q177" s="107">
        <v>1.04679344E-3</v>
      </c>
      <c r="R177" s="107">
        <v>3.2355919000000004E-2</v>
      </c>
      <c r="S177" s="108"/>
    </row>
    <row r="178" spans="5:19">
      <c r="E178" s="44" t="s">
        <v>5</v>
      </c>
      <c r="F178" s="106">
        <v>7.5841587635023064E-2</v>
      </c>
      <c r="G178" s="107">
        <v>6.9409922801016183E-2</v>
      </c>
      <c r="H178" s="107">
        <v>6.9009580202020211E-3</v>
      </c>
      <c r="I178" s="107">
        <v>7.3298365000000004E-2</v>
      </c>
      <c r="J178" s="107"/>
      <c r="K178" s="107">
        <v>2.4053227E-2</v>
      </c>
      <c r="L178" s="108"/>
      <c r="M178" s="106">
        <v>0.18088182193199367</v>
      </c>
      <c r="N178" s="107">
        <v>6.6475685558198841E-2</v>
      </c>
      <c r="O178" s="107">
        <v>0.12080049653333334</v>
      </c>
      <c r="P178" s="107">
        <v>1.4139802787658815E-2</v>
      </c>
      <c r="Q178" s="107">
        <v>1.6002014499999998E-3</v>
      </c>
      <c r="R178" s="107">
        <v>7.2390227999999997E-3</v>
      </c>
      <c r="S178" s="108">
        <v>3.6802000000000004E-5</v>
      </c>
    </row>
    <row r="179" spans="5:19">
      <c r="E179" s="45" t="s">
        <v>6</v>
      </c>
      <c r="F179" s="109">
        <v>2.5119718974391789E-2</v>
      </c>
      <c r="G179" s="110">
        <v>1.2737142538435043E-2</v>
      </c>
      <c r="H179" s="110">
        <v>5.3532005412844042E-3</v>
      </c>
      <c r="I179" s="110">
        <v>7.4441800000000005E-4</v>
      </c>
      <c r="J179" s="110"/>
      <c r="K179" s="110">
        <v>1.08608E-4</v>
      </c>
      <c r="L179" s="111"/>
      <c r="M179" s="109"/>
      <c r="N179" s="110">
        <v>1.9882081462427707E-2</v>
      </c>
      <c r="O179" s="110">
        <v>2.9415260000000003E-3</v>
      </c>
      <c r="P179" s="110">
        <v>1.515601422344998E-2</v>
      </c>
      <c r="Q179" s="110">
        <v>1.6581562735042737E-3</v>
      </c>
      <c r="R179" s="110"/>
      <c r="S179" s="111"/>
    </row>
    <row r="180" spans="5:19">
      <c r="E180" s="43" t="s">
        <v>7</v>
      </c>
      <c r="F180" s="112">
        <v>0.17526106071499323</v>
      </c>
      <c r="G180" s="113">
        <v>0.1429338333388753</v>
      </c>
      <c r="H180" s="113">
        <v>8.3186634413828231E-2</v>
      </c>
      <c r="I180" s="113">
        <v>9.8908578952076782E-3</v>
      </c>
      <c r="J180" s="113">
        <v>5.127272481203006E-4</v>
      </c>
      <c r="K180" s="113">
        <v>1.0298361307573414E-2</v>
      </c>
      <c r="L180" s="114">
        <v>1.770979159818389E-2</v>
      </c>
      <c r="M180" s="112">
        <v>6.4676631007819285E-2</v>
      </c>
      <c r="N180" s="113">
        <v>4.6668017225047875E-2</v>
      </c>
      <c r="O180" s="113">
        <v>3.9539008125937754E-2</v>
      </c>
      <c r="P180" s="113">
        <v>6.91751993587546E-3</v>
      </c>
      <c r="Q180" s="113">
        <v>5.344191649122804E-4</v>
      </c>
      <c r="R180" s="113">
        <v>4.3502688938455158E-3</v>
      </c>
      <c r="S180" s="114">
        <v>1.3722732113917795E-2</v>
      </c>
    </row>
    <row r="181" spans="5:19">
      <c r="E181" s="44" t="s">
        <v>8</v>
      </c>
      <c r="F181" s="115">
        <v>0.11682748674552258</v>
      </c>
      <c r="G181" s="116">
        <v>7.1926252091927698E-2</v>
      </c>
      <c r="H181" s="116">
        <v>5.9204006528692316E-2</v>
      </c>
      <c r="I181" s="116"/>
      <c r="J181" s="116"/>
      <c r="K181" s="116">
        <v>4.2317462386706932E-3</v>
      </c>
      <c r="L181" s="117">
        <v>1.2273210855442184E-2</v>
      </c>
      <c r="M181" s="115">
        <v>4.5638175438918453E-2</v>
      </c>
      <c r="N181" s="116">
        <v>2.7643372890482295E-2</v>
      </c>
      <c r="O181" s="116">
        <v>2.7384702504642928E-2</v>
      </c>
      <c r="P181" s="116">
        <v>4.0586067578676976E-3</v>
      </c>
      <c r="Q181" s="116">
        <v>3.9130082129277562E-4</v>
      </c>
      <c r="R181" s="116">
        <v>3.8148267188353084E-3</v>
      </c>
      <c r="S181" s="117">
        <v>1.0287941387096775E-2</v>
      </c>
    </row>
    <row r="182" spans="5:19">
      <c r="E182" s="44" t="s">
        <v>9</v>
      </c>
      <c r="F182" s="115">
        <v>0.31203523084443219</v>
      </c>
      <c r="G182" s="116">
        <v>0.27059393593618636</v>
      </c>
      <c r="H182" s="116">
        <v>0.40919977637777788</v>
      </c>
      <c r="I182" s="116">
        <v>1.5520853955414023E-2</v>
      </c>
      <c r="J182" s="116">
        <v>5.2567126495726502E-4</v>
      </c>
      <c r="K182" s="116">
        <v>0.22571758104761905</v>
      </c>
      <c r="L182" s="117">
        <v>0.32185034166666671</v>
      </c>
      <c r="M182" s="115">
        <v>0.28807288315600749</v>
      </c>
      <c r="N182" s="116">
        <v>0.22195270329367753</v>
      </c>
      <c r="O182" s="116">
        <v>3.1042034674418597E-2</v>
      </c>
      <c r="P182" s="116">
        <v>0.39747835960000005</v>
      </c>
      <c r="Q182" s="116">
        <v>2.3972542857142852E-4</v>
      </c>
      <c r="R182" s="116">
        <v>3.0066867500000002E-3</v>
      </c>
      <c r="S182" s="117">
        <v>0.34027381907692306</v>
      </c>
    </row>
    <row r="183" spans="5:19">
      <c r="E183" s="44" t="s">
        <v>10</v>
      </c>
      <c r="F183" s="115">
        <v>0.12665630316750631</v>
      </c>
      <c r="G183" s="116">
        <v>0.13373090617746214</v>
      </c>
      <c r="H183" s="116">
        <v>4.9393149809523813E-2</v>
      </c>
      <c r="I183" s="116">
        <v>4.0831528000000008E-3</v>
      </c>
      <c r="J183" s="116">
        <v>4.6136200000000005E-4</v>
      </c>
      <c r="K183" s="116">
        <v>1.8023240875621894E-2</v>
      </c>
      <c r="L183" s="117">
        <v>2.4240085644736828E-2</v>
      </c>
      <c r="M183" s="115">
        <v>6.6544129465949883E-2</v>
      </c>
      <c r="N183" s="116">
        <v>4.7679784069810077E-2</v>
      </c>
      <c r="O183" s="116">
        <v>6.4282686604938289E-3</v>
      </c>
      <c r="P183" s="116">
        <v>4.7813246153846151E-4</v>
      </c>
      <c r="Q183" s="116"/>
      <c r="R183" s="116">
        <v>1.2260829168552025E-3</v>
      </c>
      <c r="S183" s="117">
        <v>2.1394847248427665E-2</v>
      </c>
    </row>
    <row r="184" spans="5:19">
      <c r="E184" s="44" t="s">
        <v>11</v>
      </c>
      <c r="F184" s="115">
        <v>0.19583100560869579</v>
      </c>
      <c r="G184" s="116">
        <v>0.18259246151965089</v>
      </c>
      <c r="H184" s="116">
        <v>0.62803409119999998</v>
      </c>
      <c r="I184" s="116">
        <v>3.4369787654205619E-2</v>
      </c>
      <c r="J184" s="116">
        <v>2.8412894736842104E-4</v>
      </c>
      <c r="K184" s="116">
        <v>2.79419796E-2</v>
      </c>
      <c r="L184" s="117"/>
      <c r="M184" s="115">
        <v>0.10088275725714287</v>
      </c>
      <c r="N184" s="116">
        <v>0.1540125933721519</v>
      </c>
      <c r="O184" s="116">
        <v>1.9544926392694073E-3</v>
      </c>
      <c r="P184" s="116">
        <v>1.1515880000000003E-3</v>
      </c>
      <c r="Q184" s="116"/>
      <c r="R184" s="116">
        <v>5.3573251000000009E-2</v>
      </c>
      <c r="S184" s="117"/>
    </row>
    <row r="185" spans="5:19">
      <c r="E185" s="44" t="s">
        <v>12</v>
      </c>
      <c r="F185" s="115">
        <v>0.18420972711551156</v>
      </c>
      <c r="G185" s="116">
        <v>5.9767738363787369E-2</v>
      </c>
      <c r="H185" s="116">
        <v>0.14504751460869567</v>
      </c>
      <c r="I185" s="116">
        <v>2.2900015980861242E-2</v>
      </c>
      <c r="J185" s="116">
        <v>1.1510250707070708E-3</v>
      </c>
      <c r="K185" s="116">
        <v>0.18103299044444443</v>
      </c>
      <c r="L185" s="117">
        <v>1.0143776E-2</v>
      </c>
      <c r="M185" s="115">
        <v>8.5707239250909353E-2</v>
      </c>
      <c r="N185" s="116">
        <v>6.6174108607191737E-2</v>
      </c>
      <c r="O185" s="116">
        <v>8.8117569782244377E-3</v>
      </c>
      <c r="P185" s="116">
        <v>0.32787495500000008</v>
      </c>
      <c r="Q185" s="116">
        <v>1.266248E-3</v>
      </c>
      <c r="R185" s="116">
        <v>3.5669040000000003E-4</v>
      </c>
      <c r="S185" s="117">
        <v>1.5972860000000001E-3</v>
      </c>
    </row>
    <row r="186" spans="5:19">
      <c r="E186" s="45" t="s">
        <v>13</v>
      </c>
      <c r="F186" s="118">
        <v>3.10045E-4</v>
      </c>
      <c r="G186" s="119">
        <v>1.4182483112211222E-2</v>
      </c>
      <c r="H186" s="119">
        <v>5.426405714285715E-4</v>
      </c>
      <c r="I186" s="119">
        <v>1.6206261493177398E-2</v>
      </c>
      <c r="J186" s="119">
        <v>7.9724900900900912E-4</v>
      </c>
      <c r="K186" s="119">
        <v>2.4278100000000002E-4</v>
      </c>
      <c r="L186" s="120"/>
      <c r="M186" s="118">
        <v>1.8227744233177863E-2</v>
      </c>
      <c r="N186" s="119">
        <v>1.3209749771056925E-2</v>
      </c>
      <c r="O186" s="119">
        <v>9.0142721080074522E-3</v>
      </c>
      <c r="P186" s="119">
        <v>1.0779038181818182E-3</v>
      </c>
      <c r="Q186" s="119">
        <v>7.6719200000000009E-4</v>
      </c>
      <c r="R186" s="119">
        <v>5.9880000000000003E-5</v>
      </c>
      <c r="S186" s="120">
        <v>1.2257980000000002E-3</v>
      </c>
    </row>
    <row r="188" spans="5:19">
      <c r="E188" s="150" t="s">
        <v>20</v>
      </c>
      <c r="F188" s="40" t="s">
        <v>0</v>
      </c>
      <c r="G188" s="41" t="s">
        <v>1</v>
      </c>
      <c r="H188" s="41" t="s">
        <v>2</v>
      </c>
      <c r="I188" s="41" t="s">
        <v>3</v>
      </c>
      <c r="J188" s="41" t="s">
        <v>4</v>
      </c>
      <c r="K188" s="41" t="s">
        <v>5</v>
      </c>
      <c r="L188" s="42" t="s">
        <v>6</v>
      </c>
      <c r="M188" s="40" t="s">
        <v>7</v>
      </c>
      <c r="N188" s="41" t="s">
        <v>8</v>
      </c>
      <c r="O188" s="41" t="s">
        <v>9</v>
      </c>
      <c r="P188" s="41" t="s">
        <v>10</v>
      </c>
      <c r="Q188" s="41" t="s">
        <v>11</v>
      </c>
      <c r="R188" s="41" t="s">
        <v>12</v>
      </c>
      <c r="S188" s="42" t="s">
        <v>13</v>
      </c>
    </row>
    <row r="189" spans="5:19">
      <c r="E189" s="43" t="s">
        <v>0</v>
      </c>
      <c r="F189" s="103">
        <v>2.1162600000000002E-4</v>
      </c>
      <c r="G189" s="104">
        <v>2.10554E-4</v>
      </c>
      <c r="H189" s="104">
        <v>3.1265200000000001E-4</v>
      </c>
      <c r="I189" s="104">
        <v>2.3111700000000003E-4</v>
      </c>
      <c r="J189" s="104">
        <v>2.45348E-4</v>
      </c>
      <c r="K189" s="104">
        <v>3.1536000000000004E-4</v>
      </c>
      <c r="L189" s="105">
        <v>2.5415400000000003E-4</v>
      </c>
      <c r="M189" s="103">
        <v>6.6829460000000004E-3</v>
      </c>
      <c r="N189" s="104">
        <v>5.7896409999999999E-3</v>
      </c>
      <c r="O189" s="104">
        <v>3.4616900000000001E-4</v>
      </c>
      <c r="P189" s="104">
        <v>2.2437800000000001E-4</v>
      </c>
      <c r="Q189" s="104">
        <v>1.6414200000000002E-4</v>
      </c>
      <c r="R189" s="104">
        <v>2.76111E-4</v>
      </c>
      <c r="S189" s="105">
        <v>7.4454400000000009E-4</v>
      </c>
    </row>
    <row r="190" spans="5:19">
      <c r="E190" s="44" t="s">
        <v>1</v>
      </c>
      <c r="F190" s="106">
        <v>2.0892000000000003E-4</v>
      </c>
      <c r="G190" s="107">
        <v>1.92368E-4</v>
      </c>
      <c r="H190" s="107">
        <v>3.1120600000000002E-4</v>
      </c>
      <c r="I190" s="107">
        <v>2.4443000000000002E-4</v>
      </c>
      <c r="J190" s="107">
        <v>3.2576600000000001E-4</v>
      </c>
      <c r="K190" s="107">
        <v>3.3997400000000005E-4</v>
      </c>
      <c r="L190" s="108">
        <v>3.3647200000000004E-4</v>
      </c>
      <c r="M190" s="106">
        <v>4.4587810000000002E-3</v>
      </c>
      <c r="N190" s="107">
        <v>1.0166160000000001E-3</v>
      </c>
      <c r="O190" s="107">
        <v>2.13153E-4</v>
      </c>
      <c r="P190" s="107">
        <v>2.7780400000000004E-4</v>
      </c>
      <c r="Q190" s="107">
        <v>2.8579800000000003E-4</v>
      </c>
      <c r="R190" s="107">
        <v>1.5898799999999999E-4</v>
      </c>
      <c r="S190" s="108">
        <v>2.6925800000000003E-4</v>
      </c>
    </row>
    <row r="191" spans="5:19">
      <c r="E191" s="44" t="s">
        <v>2</v>
      </c>
      <c r="F191" s="106">
        <v>9.3767820000000002E-3</v>
      </c>
      <c r="G191" s="107">
        <v>4.0104320000000004E-3</v>
      </c>
      <c r="H191" s="107">
        <v>9.5666000000000002E-5</v>
      </c>
      <c r="I191" s="107">
        <v>2.4919620000000003E-3</v>
      </c>
      <c r="J191" s="107">
        <v>1.126E-4</v>
      </c>
      <c r="K191" s="107">
        <v>1.02923E-4</v>
      </c>
      <c r="L191" s="108">
        <v>1.6325813000000002E-2</v>
      </c>
      <c r="M191" s="106">
        <v>1.3212803E-2</v>
      </c>
      <c r="N191" s="107">
        <v>9.8426040000000013E-3</v>
      </c>
      <c r="O191" s="107">
        <v>1.4094342000000001E-2</v>
      </c>
      <c r="P191" s="107">
        <v>2.4083200000000001E-4</v>
      </c>
      <c r="Q191" s="107">
        <v>2.94276E-4</v>
      </c>
      <c r="R191" s="107">
        <v>2.64387E-3</v>
      </c>
      <c r="S191" s="108">
        <v>5.9890820000000006E-3</v>
      </c>
    </row>
    <row r="192" spans="5:19">
      <c r="E192" s="44" t="s">
        <v>3</v>
      </c>
      <c r="F192" s="106">
        <v>4.5973000000000005E-4</v>
      </c>
      <c r="G192" s="107">
        <v>6.9012400000000008E-4</v>
      </c>
      <c r="H192" s="107">
        <v>3.3951900000000004E-4</v>
      </c>
      <c r="I192" s="107">
        <v>6.7800000000000001E-7</v>
      </c>
      <c r="J192" s="107"/>
      <c r="K192" s="107">
        <v>1.5028600000000002E-4</v>
      </c>
      <c r="L192" s="108">
        <v>2.3806000000000001E-4</v>
      </c>
      <c r="M192" s="106">
        <v>1.6962360000000001E-3</v>
      </c>
      <c r="N192" s="107">
        <v>9.5381200000000006E-4</v>
      </c>
      <c r="O192" s="107">
        <v>7.346980000000001E-4</v>
      </c>
      <c r="P192" s="107">
        <v>1.1005000000000001E-5</v>
      </c>
      <c r="Q192" s="107"/>
      <c r="R192" s="107">
        <v>3.01024E-4</v>
      </c>
      <c r="S192" s="108">
        <v>7.4073600000000009E-4</v>
      </c>
    </row>
    <row r="193" spans="5:19">
      <c r="E193" s="44" t="s">
        <v>4</v>
      </c>
      <c r="F193" s="106">
        <v>3.8708100000000006E-4</v>
      </c>
      <c r="G193" s="107">
        <v>1.6423760000000001E-3</v>
      </c>
      <c r="H193" s="107">
        <v>2.8003000000000003E-5</v>
      </c>
      <c r="I193" s="107">
        <v>2.4837399999999999E-4</v>
      </c>
      <c r="J193" s="107"/>
      <c r="K193" s="107"/>
      <c r="L193" s="108"/>
      <c r="M193" s="106">
        <v>8.7358319999999989E-3</v>
      </c>
      <c r="N193" s="107">
        <v>1.218628E-3</v>
      </c>
      <c r="O193" s="107">
        <v>7.4312000000000003E-5</v>
      </c>
      <c r="P193" s="107">
        <v>2.4312800000000001E-4</v>
      </c>
      <c r="Q193" s="107">
        <v>3.54738E-4</v>
      </c>
      <c r="R193" s="107">
        <v>3.2355919000000004E-2</v>
      </c>
      <c r="S193" s="108"/>
    </row>
    <row r="194" spans="5:19">
      <c r="E194" s="44" t="s">
        <v>5</v>
      </c>
      <c r="F194" s="106">
        <v>2.4555300000000003E-4</v>
      </c>
      <c r="G194" s="107">
        <v>4.1711999999999999E-4</v>
      </c>
      <c r="H194" s="107">
        <v>1.6105200000000002E-4</v>
      </c>
      <c r="I194" s="107">
        <v>2.0599700000000003E-4</v>
      </c>
      <c r="J194" s="107"/>
      <c r="K194" s="107">
        <v>2.4053227E-2</v>
      </c>
      <c r="L194" s="108"/>
      <c r="M194" s="106">
        <v>3.8745260000000001E-3</v>
      </c>
      <c r="N194" s="107">
        <v>3.12582E-4</v>
      </c>
      <c r="O194" s="107">
        <v>3.82908E-4</v>
      </c>
      <c r="P194" s="107">
        <v>2.7053899999999998E-4</v>
      </c>
      <c r="Q194" s="107">
        <v>3.7698800000000003E-4</v>
      </c>
      <c r="R194" s="107">
        <v>3.3964200000000003E-4</v>
      </c>
      <c r="S194" s="108">
        <v>3.6802000000000004E-5</v>
      </c>
    </row>
    <row r="195" spans="5:19">
      <c r="E195" s="45" t="s">
        <v>6</v>
      </c>
      <c r="F195" s="109">
        <v>2.8587100000000004E-4</v>
      </c>
      <c r="G195" s="110">
        <v>2.11604E-4</v>
      </c>
      <c r="H195" s="110">
        <v>2.9713E-4</v>
      </c>
      <c r="I195" s="110">
        <v>7.4441800000000005E-4</v>
      </c>
      <c r="J195" s="110"/>
      <c r="K195" s="110">
        <v>1.08608E-4</v>
      </c>
      <c r="L195" s="111"/>
      <c r="M195" s="109"/>
      <c r="N195" s="110">
        <v>3.7690300000000005E-4</v>
      </c>
      <c r="O195" s="110">
        <v>2.9415260000000003E-3</v>
      </c>
      <c r="P195" s="110">
        <v>6.4414600000000006E-4</v>
      </c>
      <c r="Q195" s="110">
        <v>3.2165000000000004E-4</v>
      </c>
      <c r="R195" s="110"/>
      <c r="S195" s="111"/>
    </row>
    <row r="196" spans="5:19">
      <c r="E196" s="43" t="s">
        <v>7</v>
      </c>
      <c r="F196" s="112">
        <v>6.0421570000000011E-3</v>
      </c>
      <c r="G196" s="113">
        <v>6.0482780000000007E-3</v>
      </c>
      <c r="H196" s="113">
        <v>3.3878600000000005E-4</v>
      </c>
      <c r="I196" s="113">
        <v>2.3524600000000002E-4</v>
      </c>
      <c r="J196" s="113">
        <v>2.2534200000000001E-4</v>
      </c>
      <c r="K196" s="113">
        <v>2.6651600000000001E-4</v>
      </c>
      <c r="L196" s="114">
        <v>4.7790400000000002E-4</v>
      </c>
      <c r="M196" s="112">
        <v>2.0877600000000001E-4</v>
      </c>
      <c r="N196" s="113">
        <v>2.1252800000000002E-4</v>
      </c>
      <c r="O196" s="113">
        <v>3.2191000000000001E-4</v>
      </c>
      <c r="P196" s="113">
        <v>2.2625800000000001E-4</v>
      </c>
      <c r="Q196" s="113">
        <v>2.4586200000000001E-4</v>
      </c>
      <c r="R196" s="113">
        <v>3.1870600000000003E-4</v>
      </c>
      <c r="S196" s="114">
        <v>3.0209200000000001E-4</v>
      </c>
    </row>
    <row r="197" spans="5:19">
      <c r="E197" s="44" t="s">
        <v>8</v>
      </c>
      <c r="F197" s="115">
        <v>3.8362930000000002E-3</v>
      </c>
      <c r="G197" s="116">
        <v>9.5908400000000002E-4</v>
      </c>
      <c r="H197" s="116">
        <v>2.00256E-4</v>
      </c>
      <c r="I197" s="116"/>
      <c r="J197" s="116"/>
      <c r="K197" s="116">
        <v>1.2142900000000001E-4</v>
      </c>
      <c r="L197" s="117">
        <v>2.9037799999999999E-4</v>
      </c>
      <c r="M197" s="115">
        <v>2.0530800000000002E-4</v>
      </c>
      <c r="N197" s="116">
        <v>1.92568E-4</v>
      </c>
      <c r="O197" s="116">
        <v>3.1396800000000003E-4</v>
      </c>
      <c r="P197" s="116">
        <v>2.4365000000000001E-4</v>
      </c>
      <c r="Q197" s="116">
        <v>3.1633799999999999E-4</v>
      </c>
      <c r="R197" s="116">
        <v>3.5283000000000005E-4</v>
      </c>
      <c r="S197" s="117">
        <v>3.3957200000000001E-4</v>
      </c>
    </row>
    <row r="198" spans="5:19">
      <c r="E198" s="44" t="s">
        <v>9</v>
      </c>
      <c r="F198" s="115">
        <v>1.8938692E-2</v>
      </c>
      <c r="G198" s="116">
        <v>1.6721033E-2</v>
      </c>
      <c r="H198" s="116">
        <v>5.8735654000000005E-2</v>
      </c>
      <c r="I198" s="116">
        <v>2.3850300000000002E-4</v>
      </c>
      <c r="J198" s="116">
        <v>3.1692600000000003E-4</v>
      </c>
      <c r="K198" s="116">
        <v>1.5364594000000001E-2</v>
      </c>
      <c r="L198" s="117">
        <v>1.7668262000000004E-2</v>
      </c>
      <c r="M198" s="115">
        <v>1.2311242E-2</v>
      </c>
      <c r="N198" s="116">
        <v>8.2458970000000003E-3</v>
      </c>
      <c r="O198" s="116">
        <v>1.0465100000000001E-4</v>
      </c>
      <c r="P198" s="116">
        <v>4.9724320000000006E-3</v>
      </c>
      <c r="Q198" s="116">
        <v>7.262200000000001E-5</v>
      </c>
      <c r="R198" s="116">
        <v>2.47094E-4</v>
      </c>
      <c r="S198" s="117">
        <v>4.8758164E-2</v>
      </c>
    </row>
    <row r="199" spans="5:19">
      <c r="E199" s="44" t="s">
        <v>10</v>
      </c>
      <c r="F199" s="115">
        <v>2.8490379999999999E-3</v>
      </c>
      <c r="G199" s="116">
        <v>1.35436E-3</v>
      </c>
      <c r="H199" s="116">
        <v>3.5744200000000002E-4</v>
      </c>
      <c r="I199" s="116">
        <v>3.0437500000000001E-4</v>
      </c>
      <c r="J199" s="116">
        <v>4.6136200000000005E-4</v>
      </c>
      <c r="K199" s="116">
        <v>2.8584500000000007E-4</v>
      </c>
      <c r="L199" s="117">
        <v>6.0707000000000003E-4</v>
      </c>
      <c r="M199" s="115">
        <v>3.5006600000000001E-4</v>
      </c>
      <c r="N199" s="116">
        <v>7.1678300000000003E-4</v>
      </c>
      <c r="O199" s="116">
        <v>3.3784200000000004E-4</v>
      </c>
      <c r="P199" s="116">
        <v>2.1576200000000001E-4</v>
      </c>
      <c r="Q199" s="116"/>
      <c r="R199" s="116">
        <v>1.9854300000000003E-4</v>
      </c>
      <c r="S199" s="117">
        <v>3.7854100000000003E-4</v>
      </c>
    </row>
    <row r="200" spans="5:19">
      <c r="E200" s="44" t="s">
        <v>11</v>
      </c>
      <c r="F200" s="115">
        <v>1.1192124000000001E-2</v>
      </c>
      <c r="G200" s="116">
        <v>2.89829E-3</v>
      </c>
      <c r="H200" s="116">
        <v>4.8527640000000007E-3</v>
      </c>
      <c r="I200" s="116">
        <v>2.8275000000000002E-4</v>
      </c>
      <c r="J200" s="116">
        <v>2.5641800000000001E-4</v>
      </c>
      <c r="K200" s="116">
        <v>3.7378200000000002E-4</v>
      </c>
      <c r="L200" s="117"/>
      <c r="M200" s="115">
        <v>4.1595900000000003E-4</v>
      </c>
      <c r="N200" s="116">
        <v>3.2367560000000004E-3</v>
      </c>
      <c r="O200" s="116">
        <v>3.4131000000000002E-5</v>
      </c>
      <c r="P200" s="116">
        <v>1.1515880000000003E-3</v>
      </c>
      <c r="Q200" s="116"/>
      <c r="R200" s="116">
        <v>5.3573251000000009E-2</v>
      </c>
      <c r="S200" s="117"/>
    </row>
    <row r="201" spans="5:19">
      <c r="E201" s="44" t="s">
        <v>12</v>
      </c>
      <c r="F201" s="115">
        <v>1.0432210000000001E-2</v>
      </c>
      <c r="G201" s="116">
        <v>3.8911800000000004E-4</v>
      </c>
      <c r="H201" s="116">
        <v>2.1372660000000001E-3</v>
      </c>
      <c r="I201" s="116">
        <v>2.9499000000000002E-4</v>
      </c>
      <c r="J201" s="116">
        <v>3.7325200000000002E-4</v>
      </c>
      <c r="K201" s="116">
        <v>1.6652500000000001E-3</v>
      </c>
      <c r="L201" s="117">
        <v>1.0143776E-2</v>
      </c>
      <c r="M201" s="115">
        <v>2.5861800000000006E-4</v>
      </c>
      <c r="N201" s="116">
        <v>4.7858000000000004E-4</v>
      </c>
      <c r="O201" s="116">
        <v>2.1418200000000002E-4</v>
      </c>
      <c r="P201" s="116">
        <v>4.95482E-4</v>
      </c>
      <c r="Q201" s="116">
        <v>1.266248E-3</v>
      </c>
      <c r="R201" s="116">
        <v>2.4043600000000001E-4</v>
      </c>
      <c r="S201" s="117">
        <v>1.5972860000000001E-3</v>
      </c>
    </row>
    <row r="202" spans="5:19">
      <c r="E202" s="45" t="s">
        <v>13</v>
      </c>
      <c r="F202" s="118">
        <v>3.10045E-4</v>
      </c>
      <c r="G202" s="119">
        <v>4.4128700000000001E-4</v>
      </c>
      <c r="H202" s="119">
        <v>2.4212800000000001E-4</v>
      </c>
      <c r="I202" s="119">
        <v>8.6961700000000005E-4</v>
      </c>
      <c r="J202" s="119">
        <v>3.0923800000000004E-4</v>
      </c>
      <c r="K202" s="119">
        <v>2.0166100000000001E-4</v>
      </c>
      <c r="L202" s="120"/>
      <c r="M202" s="118">
        <v>2.6348800000000004E-4</v>
      </c>
      <c r="N202" s="119">
        <v>2.3340400000000002E-4</v>
      </c>
      <c r="O202" s="119">
        <v>3.05824E-4</v>
      </c>
      <c r="P202" s="119">
        <v>2.9817200000000003E-4</v>
      </c>
      <c r="Q202" s="119">
        <v>7.6719200000000009E-4</v>
      </c>
      <c r="R202" s="119">
        <v>5.9880000000000003E-5</v>
      </c>
      <c r="S202" s="120">
        <v>1.2257980000000002E-3</v>
      </c>
    </row>
    <row r="204" spans="5:19">
      <c r="E204" s="121" t="s">
        <v>66</v>
      </c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3"/>
    </row>
    <row r="206" spans="5:19">
      <c r="E206" s="150" t="s">
        <v>20</v>
      </c>
      <c r="F206" s="40" t="s">
        <v>0</v>
      </c>
      <c r="G206" s="41" t="s">
        <v>1</v>
      </c>
      <c r="H206" s="41" t="s">
        <v>2</v>
      </c>
      <c r="I206" s="41" t="s">
        <v>3</v>
      </c>
      <c r="J206" s="41" t="s">
        <v>4</v>
      </c>
      <c r="K206" s="41" t="s">
        <v>5</v>
      </c>
      <c r="L206" s="42" t="s">
        <v>6</v>
      </c>
      <c r="M206" s="40" t="s">
        <v>7</v>
      </c>
      <c r="N206" s="41" t="s">
        <v>8</v>
      </c>
      <c r="O206" s="41" t="s">
        <v>9</v>
      </c>
      <c r="P206" s="41" t="s">
        <v>10</v>
      </c>
      <c r="Q206" s="41" t="s">
        <v>11</v>
      </c>
      <c r="R206" s="41" t="s">
        <v>12</v>
      </c>
      <c r="S206" s="42" t="s">
        <v>13</v>
      </c>
    </row>
    <row r="207" spans="5:19">
      <c r="E207" s="43" t="s">
        <v>0</v>
      </c>
      <c r="F207" s="94">
        <v>2.1175290526888961</v>
      </c>
      <c r="G207" s="95">
        <v>1.9938712100518985</v>
      </c>
      <c r="H207" s="95">
        <v>2.6624011167985109</v>
      </c>
      <c r="I207" s="95">
        <v>2.2642692603020218</v>
      </c>
      <c r="J207" s="95">
        <v>3.4652862362971986</v>
      </c>
      <c r="K207" s="95">
        <v>2.965673330818559</v>
      </c>
      <c r="L207" s="96">
        <v>3.0701999070199908</v>
      </c>
      <c r="M207" s="94">
        <v>2.3680583704904743</v>
      </c>
      <c r="N207" s="95">
        <v>2.2143254852052179</v>
      </c>
      <c r="O207" s="95">
        <v>2.0332986472424559</v>
      </c>
      <c r="P207" s="95">
        <v>2.4777117384843983</v>
      </c>
      <c r="Q207" s="95">
        <v>2.6870748299319729</v>
      </c>
      <c r="R207" s="95">
        <v>2.8894230769230771</v>
      </c>
      <c r="S207" s="96">
        <v>3.1715481171548117</v>
      </c>
    </row>
    <row r="208" spans="5:19">
      <c r="E208" s="44" t="s">
        <v>1</v>
      </c>
      <c r="F208" s="97">
        <v>2.4029838457358341</v>
      </c>
      <c r="G208" s="98">
        <v>2.0991472005932517</v>
      </c>
      <c r="H208" s="98">
        <v>1.8924843423799582</v>
      </c>
      <c r="I208" s="98">
        <v>3.3559322033898304</v>
      </c>
      <c r="J208" s="98">
        <v>4.4597069597069599</v>
      </c>
      <c r="K208" s="98">
        <v>3.5408366533864544</v>
      </c>
      <c r="L208" s="99">
        <v>3.4274611398963732</v>
      </c>
      <c r="M208" s="97">
        <v>2.3158803644914756</v>
      </c>
      <c r="N208" s="98">
        <v>2.9613487319366261</v>
      </c>
      <c r="O208" s="98">
        <v>2.6705202312138727</v>
      </c>
      <c r="P208" s="98">
        <v>5</v>
      </c>
      <c r="Q208" s="98">
        <v>1</v>
      </c>
      <c r="R208" s="98">
        <v>2.7933753943217665</v>
      </c>
      <c r="S208" s="99">
        <v>3.3660644147682639</v>
      </c>
    </row>
    <row r="209" spans="5:19">
      <c r="E209" s="44" t="s">
        <v>2</v>
      </c>
      <c r="F209" s="97">
        <v>3.3922764227642275</v>
      </c>
      <c r="G209" s="98">
        <v>3.2695652173913046</v>
      </c>
      <c r="H209" s="98">
        <v>3.3014971605575631</v>
      </c>
      <c r="I209" s="98">
        <v>4.1851851851851851</v>
      </c>
      <c r="J209" s="98">
        <v>7</v>
      </c>
      <c r="K209" s="98">
        <v>5.3529411764705879</v>
      </c>
      <c r="L209" s="99">
        <v>5.3</v>
      </c>
      <c r="M209" s="97">
        <v>2.9224376731301938</v>
      </c>
      <c r="N209" s="98">
        <v>3.0452261306532664</v>
      </c>
      <c r="O209" s="98">
        <v>3.5714285714285716</v>
      </c>
      <c r="P209" s="98">
        <v>1.3028391167192428</v>
      </c>
      <c r="Q209" s="98">
        <v>1.411764705882353</v>
      </c>
      <c r="R209" s="98">
        <v>1.7647058823529411</v>
      </c>
      <c r="S209" s="99">
        <v>2.5217391304347827</v>
      </c>
    </row>
    <row r="210" spans="5:19">
      <c r="E210" s="44" t="s">
        <v>3</v>
      </c>
      <c r="F210" s="97">
        <v>1.9799092676604018</v>
      </c>
      <c r="G210" s="98">
        <v>1.8233995584988962</v>
      </c>
      <c r="H210" s="98">
        <v>2.2345132743362832</v>
      </c>
      <c r="I210" s="98">
        <v>2</v>
      </c>
      <c r="J210" s="98"/>
      <c r="K210" s="98">
        <v>3.5408731321418108</v>
      </c>
      <c r="L210" s="99">
        <v>2.3596059113300494</v>
      </c>
      <c r="M210" s="97">
        <v>1.9650959860383943</v>
      </c>
      <c r="N210" s="98">
        <v>2.2350628930817611</v>
      </c>
      <c r="O210" s="98">
        <v>1.3125</v>
      </c>
      <c r="P210" s="98">
        <v>1.1875</v>
      </c>
      <c r="Q210" s="98"/>
      <c r="R210" s="98">
        <v>1.6654456654456655</v>
      </c>
      <c r="S210" s="99">
        <v>1.6671858774662514</v>
      </c>
    </row>
    <row r="211" spans="5:19">
      <c r="E211" s="44" t="s">
        <v>4</v>
      </c>
      <c r="F211" s="97">
        <v>4.1142857142857139</v>
      </c>
      <c r="G211" s="98">
        <v>3.5294117647058822</v>
      </c>
      <c r="H211" s="98">
        <v>2.5958333333333332</v>
      </c>
      <c r="I211" s="98">
        <v>23</v>
      </c>
      <c r="J211" s="98"/>
      <c r="K211" s="98"/>
      <c r="L211" s="99"/>
      <c r="M211" s="97">
        <v>6.4210526315789478</v>
      </c>
      <c r="N211" s="98">
        <v>3.8836206896551726</v>
      </c>
      <c r="O211" s="98">
        <v>83</v>
      </c>
      <c r="P211" s="98">
        <v>1.3072625698324023</v>
      </c>
      <c r="Q211" s="98">
        <v>1.84</v>
      </c>
      <c r="R211" s="98">
        <v>32.5</v>
      </c>
      <c r="S211" s="99"/>
    </row>
    <row r="212" spans="5:19">
      <c r="E212" s="44" t="s">
        <v>5</v>
      </c>
      <c r="F212" s="97">
        <v>4.2373271889400925</v>
      </c>
      <c r="G212" s="98">
        <v>4.2489415749364943</v>
      </c>
      <c r="H212" s="98">
        <v>3.88116458704694</v>
      </c>
      <c r="I212" s="98">
        <v>4.333333333333333</v>
      </c>
      <c r="J212" s="98"/>
      <c r="K212" s="98">
        <v>10.5</v>
      </c>
      <c r="L212" s="99"/>
      <c r="M212" s="97">
        <v>6.8268933539412675</v>
      </c>
      <c r="N212" s="98">
        <v>3.4885301614273576</v>
      </c>
      <c r="O212" s="98">
        <v>8</v>
      </c>
      <c r="P212" s="98">
        <v>1.3539019963702359</v>
      </c>
      <c r="Q212" s="98">
        <v>2.2999999999999998</v>
      </c>
      <c r="R212" s="98">
        <v>1.8</v>
      </c>
      <c r="S212" s="99">
        <v>5.5</v>
      </c>
    </row>
    <row r="213" spans="5:19">
      <c r="E213" s="45" t="s">
        <v>6</v>
      </c>
      <c r="F213" s="100">
        <v>41.205505761843789</v>
      </c>
      <c r="G213" s="101">
        <v>41.091003102378487</v>
      </c>
      <c r="H213" s="101">
        <v>39.344036697247709</v>
      </c>
      <c r="I213" s="101">
        <v>7</v>
      </c>
      <c r="J213" s="101"/>
      <c r="K213" s="101">
        <v>10</v>
      </c>
      <c r="L213" s="102"/>
      <c r="M213" s="100"/>
      <c r="N213" s="101">
        <v>36.74181117533719</v>
      </c>
      <c r="O213" s="101">
        <v>36</v>
      </c>
      <c r="P213" s="101">
        <v>36.500920810313076</v>
      </c>
      <c r="Q213" s="101">
        <v>34.820512820512818</v>
      </c>
      <c r="R213" s="101"/>
      <c r="S213" s="102"/>
    </row>
    <row r="214" spans="5:19">
      <c r="E214" s="43" t="s">
        <v>7</v>
      </c>
      <c r="F214" s="79">
        <v>2.3752208220468733</v>
      </c>
      <c r="G214" s="80">
        <v>2.1813893996322649</v>
      </c>
      <c r="H214" s="80">
        <v>1.8357905439755973</v>
      </c>
      <c r="I214" s="80">
        <v>2.5009584664536741</v>
      </c>
      <c r="J214" s="80">
        <v>2.2481203007518795</v>
      </c>
      <c r="K214" s="80">
        <v>2.635239567233385</v>
      </c>
      <c r="L214" s="81">
        <v>3.3348467650397278</v>
      </c>
      <c r="M214" s="79">
        <v>2.0883041108873357</v>
      </c>
      <c r="N214" s="80">
        <v>1.9947631393691729</v>
      </c>
      <c r="O214" s="80">
        <v>2.6494657876790177</v>
      </c>
      <c r="P214" s="80">
        <v>2.2832827549808683</v>
      </c>
      <c r="Q214" s="80">
        <v>3.0210526315789474</v>
      </c>
      <c r="R214" s="80">
        <v>3.0152829409334987</v>
      </c>
      <c r="S214" s="81">
        <v>3.1446260525012382</v>
      </c>
    </row>
    <row r="215" spans="5:19">
      <c r="E215" s="44" t="s">
        <v>8</v>
      </c>
      <c r="F215" s="82">
        <v>2.3050938529875342</v>
      </c>
      <c r="G215" s="83">
        <v>2.97060927626088</v>
      </c>
      <c r="H215" s="83">
        <v>2.6011288805268111</v>
      </c>
      <c r="I215" s="83"/>
      <c r="J215" s="83"/>
      <c r="K215" s="83">
        <v>2.7628398791540785</v>
      </c>
      <c r="L215" s="84">
        <v>3.5280612244897958</v>
      </c>
      <c r="M215" s="82">
        <v>2.4368145522017164</v>
      </c>
      <c r="N215" s="83">
        <v>2.126695296704594</v>
      </c>
      <c r="O215" s="83">
        <v>1.9151456932436759</v>
      </c>
      <c r="P215" s="83">
        <v>3.3483194176835793</v>
      </c>
      <c r="Q215" s="83">
        <v>4.5152091254752849</v>
      </c>
      <c r="R215" s="83">
        <v>3.3530482256596907</v>
      </c>
      <c r="S215" s="84">
        <v>3.2826086956521738</v>
      </c>
    </row>
    <row r="216" spans="5:19">
      <c r="E216" s="44" t="s">
        <v>9</v>
      </c>
      <c r="F216" s="82">
        <v>3.0173729928928665</v>
      </c>
      <c r="G216" s="83">
        <v>3.2085603112840468</v>
      </c>
      <c r="H216" s="83">
        <v>4.0444444444444443</v>
      </c>
      <c r="I216" s="83">
        <v>1.3152866242038217</v>
      </c>
      <c r="J216" s="83">
        <v>1.4102564102564104</v>
      </c>
      <c r="K216" s="83">
        <v>2.9047619047619047</v>
      </c>
      <c r="L216" s="84">
        <v>3</v>
      </c>
      <c r="M216" s="82">
        <v>3.6103826598876103</v>
      </c>
      <c r="N216" s="83">
        <v>3.2338545207341944</v>
      </c>
      <c r="O216" s="83">
        <v>3.1636851520572451</v>
      </c>
      <c r="P216" s="83">
        <v>4.9000000000000004</v>
      </c>
      <c r="Q216" s="83">
        <v>6.2857142857142856</v>
      </c>
      <c r="R216" s="83">
        <v>7.71875</v>
      </c>
      <c r="S216" s="84">
        <v>4.3076923076923075</v>
      </c>
    </row>
    <row r="217" spans="5:19">
      <c r="E217" s="44" t="s">
        <v>10</v>
      </c>
      <c r="F217" s="82">
        <v>2.2525188916876573</v>
      </c>
      <c r="G217" s="83">
        <v>2.3558118899733809</v>
      </c>
      <c r="H217" s="83">
        <v>5.0476190476190474</v>
      </c>
      <c r="I217" s="83">
        <v>1.4</v>
      </c>
      <c r="J217" s="83">
        <v>2</v>
      </c>
      <c r="K217" s="83">
        <v>1.8333333333333333</v>
      </c>
      <c r="L217" s="84">
        <v>1.8080143540669857</v>
      </c>
      <c r="M217" s="82">
        <v>2.0317460317460316</v>
      </c>
      <c r="N217" s="83">
        <v>1.9454990814451929</v>
      </c>
      <c r="O217" s="83">
        <v>2.0401234567901234</v>
      </c>
      <c r="P217" s="83">
        <v>16</v>
      </c>
      <c r="Q217" s="83"/>
      <c r="R217" s="83">
        <v>3.3701923076923075</v>
      </c>
      <c r="S217" s="84">
        <v>2.4198113207547172</v>
      </c>
    </row>
    <row r="218" spans="5:19">
      <c r="E218" s="44" t="s">
        <v>11</v>
      </c>
      <c r="F218" s="82">
        <v>6.5054347826086953</v>
      </c>
      <c r="G218" s="83">
        <v>3.4716157205240177</v>
      </c>
      <c r="H218" s="83">
        <v>3</v>
      </c>
      <c r="I218" s="83">
        <v>1.3271028037383177</v>
      </c>
      <c r="J218" s="83">
        <v>1.5789473684210527</v>
      </c>
      <c r="K218" s="83">
        <v>2.8</v>
      </c>
      <c r="L218" s="84"/>
      <c r="M218" s="82">
        <v>3.46</v>
      </c>
      <c r="N218" s="83">
        <v>3.3873417721518986</v>
      </c>
      <c r="O218" s="83">
        <v>2.5593607305936072</v>
      </c>
      <c r="P218" s="83">
        <v>1</v>
      </c>
      <c r="Q218" s="83"/>
      <c r="R218" s="83">
        <v>2</v>
      </c>
      <c r="S218" s="84"/>
    </row>
    <row r="219" spans="5:19">
      <c r="E219" s="44" t="s">
        <v>12</v>
      </c>
      <c r="F219" s="82">
        <v>7.8712871287128712</v>
      </c>
      <c r="G219" s="83">
        <v>3.8953488372093021</v>
      </c>
      <c r="H219" s="83">
        <v>11.347826086956522</v>
      </c>
      <c r="I219" s="83">
        <v>1.4717703349282296</v>
      </c>
      <c r="J219" s="83">
        <v>2.2424242424242422</v>
      </c>
      <c r="K219" s="83">
        <v>5.5555555555555554</v>
      </c>
      <c r="L219" s="84">
        <v>4</v>
      </c>
      <c r="M219" s="82">
        <v>4.4745454545454546</v>
      </c>
      <c r="N219" s="83">
        <v>3.8912152935821576</v>
      </c>
      <c r="O219" s="83">
        <v>3.7012841987716358</v>
      </c>
      <c r="P219" s="83">
        <v>3.7857142857142856</v>
      </c>
      <c r="Q219" s="83">
        <v>2</v>
      </c>
      <c r="R219" s="83">
        <v>8.8000000000000007</v>
      </c>
      <c r="S219" s="84">
        <v>40</v>
      </c>
    </row>
    <row r="220" spans="5:19">
      <c r="E220" s="45" t="s">
        <v>13</v>
      </c>
      <c r="F220" s="85">
        <v>43.5</v>
      </c>
      <c r="G220" s="86">
        <v>37.71782178217822</v>
      </c>
      <c r="H220" s="86">
        <v>35</v>
      </c>
      <c r="I220" s="86">
        <v>37.824074074074076</v>
      </c>
      <c r="J220" s="86">
        <v>37.081081081081081</v>
      </c>
      <c r="K220" s="86">
        <v>5</v>
      </c>
      <c r="L220" s="87"/>
      <c r="M220" s="85">
        <v>41.734843437708193</v>
      </c>
      <c r="N220" s="86">
        <v>41.966504065040652</v>
      </c>
      <c r="O220" s="86">
        <v>42.001862197392924</v>
      </c>
      <c r="P220" s="86">
        <v>23.181818181818183</v>
      </c>
      <c r="Q220" s="86">
        <v>30</v>
      </c>
      <c r="R220" s="86">
        <v>15</v>
      </c>
      <c r="S220" s="87">
        <v>13</v>
      </c>
    </row>
    <row r="222" spans="5:19">
      <c r="E222" s="121" t="s">
        <v>67</v>
      </c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3"/>
    </row>
    <row r="224" spans="5:19">
      <c r="E224" s="150" t="s">
        <v>20</v>
      </c>
      <c r="F224" s="40" t="s">
        <v>0</v>
      </c>
      <c r="G224" s="41" t="s">
        <v>1</v>
      </c>
      <c r="H224" s="41" t="s">
        <v>2</v>
      </c>
      <c r="I224" s="41" t="s">
        <v>3</v>
      </c>
      <c r="J224" s="41" t="s">
        <v>4</v>
      </c>
      <c r="K224" s="41" t="s">
        <v>5</v>
      </c>
      <c r="L224" s="42" t="s">
        <v>6</v>
      </c>
      <c r="M224" s="40" t="s">
        <v>7</v>
      </c>
      <c r="N224" s="41" t="s">
        <v>8</v>
      </c>
      <c r="O224" s="41" t="s">
        <v>9</v>
      </c>
      <c r="P224" s="41" t="s">
        <v>10</v>
      </c>
      <c r="Q224" s="41" t="s">
        <v>11</v>
      </c>
      <c r="R224" s="41" t="s">
        <v>12</v>
      </c>
      <c r="S224" s="42" t="s">
        <v>13</v>
      </c>
    </row>
    <row r="225" spans="5:19">
      <c r="E225" s="43" t="s">
        <v>0</v>
      </c>
      <c r="F225" s="94">
        <v>-0.12737125560207813</v>
      </c>
      <c r="G225" s="95">
        <v>-6.0349315297619874E-2</v>
      </c>
      <c r="H225" s="95">
        <v>8.4545625279308353E-2</v>
      </c>
      <c r="I225" s="95">
        <v>-0.43382271294449859</v>
      </c>
      <c r="J225" s="95">
        <v>-0.42119381414258572</v>
      </c>
      <c r="K225" s="95">
        <v>-0.1282209762128676</v>
      </c>
      <c r="L225" s="96">
        <v>-9.6195695907746223E-2</v>
      </c>
      <c r="M225" s="94">
        <v>-3.4907558579169232E-2</v>
      </c>
      <c r="N225" s="95">
        <v>-0.10486602859592643</v>
      </c>
      <c r="O225" s="95">
        <v>-0.23987011937516228</v>
      </c>
      <c r="P225" s="95">
        <v>0.42911295759823531</v>
      </c>
      <c r="Q225" s="95">
        <v>0.39359478448226687</v>
      </c>
      <c r="R225" s="95">
        <v>-1.9486414275262844E-2</v>
      </c>
      <c r="S225" s="96">
        <v>2.3117865169143435E-3</v>
      </c>
    </row>
    <row r="226" spans="5:19">
      <c r="E226" s="44" t="s">
        <v>1</v>
      </c>
      <c r="F226" s="97">
        <v>-5.8376920663296118E-2</v>
      </c>
      <c r="G226" s="98">
        <v>1.8320399238732941E-2</v>
      </c>
      <c r="H226" s="98">
        <v>0.18150138740485208</v>
      </c>
      <c r="I226" s="98">
        <v>-0.44193321054048151</v>
      </c>
      <c r="J226" s="98">
        <v>-0.39529603143576258</v>
      </c>
      <c r="K226" s="98">
        <v>-8.553163520659772E-2</v>
      </c>
      <c r="L226" s="99">
        <v>-6.7611948207890876E-2</v>
      </c>
      <c r="M226" s="97">
        <v>5.9046936340403366E-2</v>
      </c>
      <c r="N226" s="98">
        <v>-3.7725716198160703E-2</v>
      </c>
      <c r="O226" s="98">
        <v>-0.28190638812532282</v>
      </c>
      <c r="P226" s="98">
        <v>-0.40735746588281152</v>
      </c>
      <c r="Q226" s="98">
        <v>0.45454545454545459</v>
      </c>
      <c r="R226" s="98">
        <v>2.3151678365468158E-2</v>
      </c>
      <c r="S226" s="99">
        <v>1.2864901407604115E-2</v>
      </c>
    </row>
    <row r="227" spans="5:19">
      <c r="E227" s="44" t="s">
        <v>2</v>
      </c>
      <c r="F227" s="97">
        <v>0.10515048175548111</v>
      </c>
      <c r="G227" s="98">
        <v>0.16352770837918254</v>
      </c>
      <c r="H227" s="98">
        <v>0.21916852963672087</v>
      </c>
      <c r="I227" s="98">
        <v>-0.42012915594636346</v>
      </c>
      <c r="J227" s="98">
        <v>-0.22931728116466524</v>
      </c>
      <c r="K227" s="98">
        <v>-0.10525374556958617</v>
      </c>
      <c r="L227" s="99">
        <v>-5.9816737558589017E-2</v>
      </c>
      <c r="M227" s="97">
        <v>0.13965520772584616</v>
      </c>
      <c r="N227" s="98">
        <v>0.10683758609120343</v>
      </c>
      <c r="O227" s="98">
        <v>-9.3145772229856039E-2</v>
      </c>
      <c r="P227" s="98">
        <v>0.40556687100958161</v>
      </c>
      <c r="Q227" s="98">
        <v>0.37399276344959353</v>
      </c>
      <c r="R227" s="98">
        <v>4.6223183657457201E-2</v>
      </c>
      <c r="S227" s="99">
        <v>4.6968471887683078E-2</v>
      </c>
    </row>
    <row r="228" spans="5:19">
      <c r="E228" s="44" t="s">
        <v>3</v>
      </c>
      <c r="F228" s="97">
        <v>-7.9499796263384406E-3</v>
      </c>
      <c r="G228" s="98">
        <v>3.656321151922523E-2</v>
      </c>
      <c r="H228" s="98">
        <v>6.0193275599744862E-2</v>
      </c>
      <c r="I228" s="98">
        <v>-0.2876848985208118</v>
      </c>
      <c r="J228" s="98"/>
      <c r="K228" s="98">
        <v>-6.1577927281629904E-2</v>
      </c>
      <c r="L228" s="99">
        <v>-1.5532234104751869E-2</v>
      </c>
      <c r="M228" s="97">
        <v>6.4192485844359742E-2</v>
      </c>
      <c r="N228" s="98">
        <v>2.6603654770027359E-2</v>
      </c>
      <c r="O228" s="98">
        <v>-7.3937034898368031E-2</v>
      </c>
      <c r="P228" s="98">
        <v>0.34840341949716946</v>
      </c>
      <c r="Q228" s="98"/>
      <c r="R228" s="98">
        <v>4.6826980292248403E-2</v>
      </c>
      <c r="S228" s="99">
        <v>4.7423457908589234E-2</v>
      </c>
    </row>
    <row r="229" spans="5:19">
      <c r="E229" s="44" t="s">
        <v>4</v>
      </c>
      <c r="F229" s="97">
        <v>0.36932719423246391</v>
      </c>
      <c r="G229" s="98">
        <v>0.38035722554470669</v>
      </c>
      <c r="H229" s="98">
        <v>0.40646831476163237</v>
      </c>
      <c r="I229" s="98">
        <v>-0.28679707389384812</v>
      </c>
      <c r="J229" s="98"/>
      <c r="K229" s="98"/>
      <c r="L229" s="99"/>
      <c r="M229" s="97">
        <v>0.31176604752963183</v>
      </c>
      <c r="N229" s="98">
        <v>0.38476950755916967</v>
      </c>
      <c r="O229" s="98">
        <v>-0.16666666666666669</v>
      </c>
      <c r="P229" s="98">
        <v>0.4628713238218064</v>
      </c>
      <c r="Q229" s="98">
        <v>0.45200751808893236</v>
      </c>
      <c r="R229" s="98">
        <v>0.10855263157894735</v>
      </c>
      <c r="S229" s="99"/>
    </row>
    <row r="230" spans="5:19">
      <c r="E230" s="44" t="s">
        <v>5</v>
      </c>
      <c r="F230" s="97">
        <v>0.37867671423523097</v>
      </c>
      <c r="G230" s="98">
        <v>0.37698085454251951</v>
      </c>
      <c r="H230" s="98">
        <v>0.37784778685810205</v>
      </c>
      <c r="I230" s="98">
        <v>-0.13072991822991822</v>
      </c>
      <c r="J230" s="98"/>
      <c r="K230" s="98">
        <v>3.735632183908047E-2</v>
      </c>
      <c r="L230" s="99"/>
      <c r="M230" s="97">
        <v>0.31912952703364528</v>
      </c>
      <c r="N230" s="98">
        <v>0.40240935607953598</v>
      </c>
      <c r="O230" s="98">
        <v>0.25603189708902929</v>
      </c>
      <c r="P230" s="98">
        <v>0.45233259792409336</v>
      </c>
      <c r="Q230" s="98">
        <v>0.44228523993506785</v>
      </c>
      <c r="R230" s="98">
        <v>0.25638583638583634</v>
      </c>
      <c r="S230" s="99">
        <v>3.9473684210526327E-2</v>
      </c>
    </row>
    <row r="231" spans="5:19">
      <c r="E231" s="45" t="s">
        <v>6</v>
      </c>
      <c r="F231" s="100">
        <v>0.44439435660073678</v>
      </c>
      <c r="G231" s="101">
        <v>0.44080330323504985</v>
      </c>
      <c r="H231" s="101">
        <v>0.44166887658983278</v>
      </c>
      <c r="I231" s="101">
        <v>0</v>
      </c>
      <c r="J231" s="101"/>
      <c r="K231" s="101">
        <v>3.8461538461538436E-2</v>
      </c>
      <c r="L231" s="102"/>
      <c r="M231" s="100"/>
      <c r="N231" s="101">
        <v>0.44137478688319437</v>
      </c>
      <c r="O231" s="101">
        <v>0.46369047619047615</v>
      </c>
      <c r="P231" s="101">
        <v>0.44866486876945855</v>
      </c>
      <c r="Q231" s="101">
        <v>0.44672977994991736</v>
      </c>
      <c r="R231" s="101"/>
      <c r="S231" s="102"/>
    </row>
    <row r="232" spans="5:19">
      <c r="E232" s="43" t="s">
        <v>7</v>
      </c>
      <c r="F232" s="79">
        <v>1.9889221580846196E-2</v>
      </c>
      <c r="G232" s="80">
        <v>8.9202994336587613E-2</v>
      </c>
      <c r="H232" s="80">
        <v>0.20705121349103173</v>
      </c>
      <c r="I232" s="80">
        <v>-0.43162397896324184</v>
      </c>
      <c r="J232" s="80">
        <v>-0.41878263341840538</v>
      </c>
      <c r="K232" s="80">
        <v>3.1822459454549139E-2</v>
      </c>
      <c r="L232" s="81">
        <v>1.564349476118369E-2</v>
      </c>
      <c r="M232" s="79">
        <v>0.1226048899170523</v>
      </c>
      <c r="N232" s="80">
        <v>5.9121741516887621E-2</v>
      </c>
      <c r="O232" s="80">
        <v>-0.10055214540430191</v>
      </c>
      <c r="P232" s="80">
        <v>0.43224324747666854</v>
      </c>
      <c r="Q232" s="80">
        <v>0.42480690706828977</v>
      </c>
      <c r="R232" s="80">
        <v>0.13159336499375729</v>
      </c>
      <c r="S232" s="81">
        <v>0.10066588732715767</v>
      </c>
    </row>
    <row r="233" spans="5:19">
      <c r="E233" s="44" t="s">
        <v>8</v>
      </c>
      <c r="F233" s="82">
        <v>-7.2938996949962531E-2</v>
      </c>
      <c r="G233" s="83">
        <v>3.6634315981000559E-2</v>
      </c>
      <c r="H233" s="83">
        <v>0.29932011213632687</v>
      </c>
      <c r="I233" s="83"/>
      <c r="J233" s="83"/>
      <c r="K233" s="83">
        <v>-1.1493251265924214E-2</v>
      </c>
      <c r="L233" s="84">
        <v>-9.8513675267305617E-3</v>
      </c>
      <c r="M233" s="82">
        <v>5.706990820047296E-2</v>
      </c>
      <c r="N233" s="83">
        <v>-1.4265991441564516E-2</v>
      </c>
      <c r="O233" s="83">
        <v>-0.19099035860991331</v>
      </c>
      <c r="P233" s="83">
        <v>0.4416621378383852</v>
      </c>
      <c r="Q233" s="83">
        <v>0.40944402786075901</v>
      </c>
      <c r="R233" s="83">
        <v>9.1716927620896158E-2</v>
      </c>
      <c r="S233" s="84">
        <v>7.549519843990718E-2</v>
      </c>
    </row>
    <row r="234" spans="5:19">
      <c r="E234" s="44" t="s">
        <v>9</v>
      </c>
      <c r="F234" s="82">
        <v>-0.14840247641275692</v>
      </c>
      <c r="G234" s="83">
        <v>-0.10590857956923141</v>
      </c>
      <c r="H234" s="83">
        <v>5.7312405313213029E-2</v>
      </c>
      <c r="I234" s="83">
        <v>-0.40362759968286455</v>
      </c>
      <c r="J234" s="83">
        <v>-0.36469414080491769</v>
      </c>
      <c r="K234" s="83">
        <v>-0.12012674740824632</v>
      </c>
      <c r="L234" s="84">
        <v>-6.2039918157219098E-2</v>
      </c>
      <c r="M234" s="82">
        <v>-0.12979176384021668</v>
      </c>
      <c r="N234" s="83">
        <v>-0.1673703623201401</v>
      </c>
      <c r="O234" s="83">
        <v>-0.22549633100159627</v>
      </c>
      <c r="P234" s="83">
        <v>0.36373667751324068</v>
      </c>
      <c r="Q234" s="83">
        <v>0.39501642239249174</v>
      </c>
      <c r="R234" s="83">
        <v>8.0005038001214779E-2</v>
      </c>
      <c r="S234" s="84">
        <v>5.3850890527871592E-2</v>
      </c>
    </row>
    <row r="235" spans="5:19">
      <c r="E235" s="44" t="s">
        <v>10</v>
      </c>
      <c r="F235" s="82">
        <v>-5.4126063855580317E-2</v>
      </c>
      <c r="G235" s="83">
        <v>-1.6097160249410533E-2</v>
      </c>
      <c r="H235" s="83">
        <v>7.2009639768559078E-2</v>
      </c>
      <c r="I235" s="83">
        <v>-0.38354920602646986</v>
      </c>
      <c r="J235" s="83">
        <v>-0.46666666666666667</v>
      </c>
      <c r="K235" s="83">
        <v>-4.4890529027800559E-2</v>
      </c>
      <c r="L235" s="84">
        <v>-3.6743313407817023E-2</v>
      </c>
      <c r="M235" s="82">
        <v>1.6408338113548047E-2</v>
      </c>
      <c r="N235" s="83">
        <v>-2.5965466098683599E-2</v>
      </c>
      <c r="O235" s="83">
        <v>-8.7098457559099493E-2</v>
      </c>
      <c r="P235" s="83">
        <v>0.2481853132362182</v>
      </c>
      <c r="Q235" s="83"/>
      <c r="R235" s="83">
        <v>6.8409876455471932E-2</v>
      </c>
      <c r="S235" s="84">
        <v>3.5105357926043815E-2</v>
      </c>
    </row>
    <row r="236" spans="5:19">
      <c r="E236" s="44" t="s">
        <v>11</v>
      </c>
      <c r="F236" s="82">
        <v>-0.31488121755507881</v>
      </c>
      <c r="G236" s="83">
        <v>-0.38048527837707735</v>
      </c>
      <c r="H236" s="83">
        <v>-0.29956022448594605</v>
      </c>
      <c r="I236" s="83">
        <v>-0.45678743498495294</v>
      </c>
      <c r="J236" s="83">
        <v>-0.45835876562848377</v>
      </c>
      <c r="K236" s="83">
        <v>-0.23401217062507387</v>
      </c>
      <c r="L236" s="84"/>
      <c r="M236" s="82">
        <v>-0.3879601756923175</v>
      </c>
      <c r="N236" s="83">
        <v>-0.38214183081060499</v>
      </c>
      <c r="O236" s="83">
        <v>-0.40765976720644359</v>
      </c>
      <c r="P236" s="83">
        <v>-0.24038461538461539</v>
      </c>
      <c r="Q236" s="83"/>
      <c r="R236" s="83">
        <v>-4.793233082706766E-2</v>
      </c>
      <c r="S236" s="84"/>
    </row>
    <row r="237" spans="5:19">
      <c r="E237" s="44" t="s">
        <v>12</v>
      </c>
      <c r="F237" s="82">
        <v>-0.3031214500390057</v>
      </c>
      <c r="G237" s="83">
        <v>-0.39212321328462107</v>
      </c>
      <c r="H237" s="83">
        <v>-0.21604442399452359</v>
      </c>
      <c r="I237" s="83">
        <v>-0.45606613941019247</v>
      </c>
      <c r="J237" s="83">
        <v>-0.45444435065773309</v>
      </c>
      <c r="K237" s="83">
        <v>-0.26229590950122839</v>
      </c>
      <c r="L237" s="84">
        <v>-0.34379483500717356</v>
      </c>
      <c r="M237" s="82">
        <v>-0.37294717382628323</v>
      </c>
      <c r="N237" s="83">
        <v>-0.38675230402797428</v>
      </c>
      <c r="O237" s="83">
        <v>-0.39021811185957828</v>
      </c>
      <c r="P237" s="83">
        <v>9.8679792429792412E-2</v>
      </c>
      <c r="Q237" s="83">
        <v>-0.43939393939393939</v>
      </c>
      <c r="R237" s="83">
        <v>-0.42495631423328861</v>
      </c>
      <c r="S237" s="84">
        <v>6.8493150684931781E-3</v>
      </c>
    </row>
    <row r="238" spans="5:19">
      <c r="E238" s="45" t="s">
        <v>13</v>
      </c>
      <c r="F238" s="85">
        <v>-0.32720132286068626</v>
      </c>
      <c r="G238" s="86">
        <v>-0.44124956548430871</v>
      </c>
      <c r="H238" s="86">
        <v>-0.40631941158256957</v>
      </c>
      <c r="I238" s="86">
        <v>-0.44844629984542739</v>
      </c>
      <c r="J238" s="86">
        <v>-0.4520582060736853</v>
      </c>
      <c r="K238" s="86">
        <v>-0.31388888888888894</v>
      </c>
      <c r="L238" s="87"/>
      <c r="M238" s="85">
        <v>-0.44362552057705668</v>
      </c>
      <c r="N238" s="86">
        <v>-0.44133128378283643</v>
      </c>
      <c r="O238" s="86">
        <v>-0.44412092057899</v>
      </c>
      <c r="P238" s="86">
        <v>-0.2777889074680519</v>
      </c>
      <c r="Q238" s="86">
        <v>-0.4777777777777778</v>
      </c>
      <c r="R238" s="86">
        <v>-0.40909090909090906</v>
      </c>
      <c r="S238" s="87">
        <v>-0.16666666666666669</v>
      </c>
    </row>
    <row r="240" spans="5:19">
      <c r="E240" s="121" t="s">
        <v>68</v>
      </c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3"/>
    </row>
    <row r="242" spans="5:19">
      <c r="E242" s="150" t="s">
        <v>20</v>
      </c>
      <c r="F242" s="40" t="s">
        <v>0</v>
      </c>
      <c r="G242" s="41" t="s">
        <v>1</v>
      </c>
      <c r="H242" s="41" t="s">
        <v>2</v>
      </c>
      <c r="I242" s="41" t="s">
        <v>3</v>
      </c>
      <c r="J242" s="41" t="s">
        <v>4</v>
      </c>
      <c r="K242" s="41" t="s">
        <v>5</v>
      </c>
      <c r="L242" s="42" t="s">
        <v>6</v>
      </c>
      <c r="M242" s="40" t="s">
        <v>7</v>
      </c>
      <c r="N242" s="41" t="s">
        <v>8</v>
      </c>
      <c r="O242" s="41" t="s">
        <v>9</v>
      </c>
      <c r="P242" s="41" t="s">
        <v>10</v>
      </c>
      <c r="Q242" s="41" t="s">
        <v>11</v>
      </c>
      <c r="R242" s="41" t="s">
        <v>12</v>
      </c>
      <c r="S242" s="42" t="s">
        <v>13</v>
      </c>
    </row>
    <row r="243" spans="5:19">
      <c r="E243" s="43" t="s">
        <v>0</v>
      </c>
      <c r="F243" s="94">
        <v>1.0962356885952971</v>
      </c>
      <c r="G243" s="95">
        <v>1.0625</v>
      </c>
      <c r="H243" s="95">
        <v>1.0260586319218241</v>
      </c>
      <c r="I243" s="95">
        <v>1.0051190171487074</v>
      </c>
      <c r="J243" s="95">
        <v>1.004872107186358</v>
      </c>
      <c r="K243" s="95">
        <v>2.0105620520558278</v>
      </c>
      <c r="L243" s="96">
        <v>2.0004649000464898</v>
      </c>
      <c r="M243" s="94">
        <v>1.1444785453703168</v>
      </c>
      <c r="N243" s="95">
        <v>1.1117562838052817</v>
      </c>
      <c r="O243" s="95">
        <v>1.0369406867845994</v>
      </c>
      <c r="P243" s="95">
        <v>1.0111441307578009</v>
      </c>
      <c r="Q243" s="95">
        <v>1</v>
      </c>
      <c r="R243" s="95">
        <v>2.0064102564102564</v>
      </c>
      <c r="S243" s="96">
        <v>2</v>
      </c>
    </row>
    <row r="244" spans="5:19">
      <c r="E244" s="44" t="s">
        <v>1</v>
      </c>
      <c r="F244" s="97">
        <v>1.067235331895203</v>
      </c>
      <c r="G244" s="98">
        <v>1.0497441601779756</v>
      </c>
      <c r="H244" s="98">
        <v>1.024008350730689</v>
      </c>
      <c r="I244" s="98">
        <v>1.0014830508474577</v>
      </c>
      <c r="J244" s="98">
        <v>1</v>
      </c>
      <c r="K244" s="98">
        <v>2.00199203187251</v>
      </c>
      <c r="L244" s="99">
        <v>2.0008635578583767</v>
      </c>
      <c r="M244" s="97">
        <v>1.0842519106407995</v>
      </c>
      <c r="N244" s="98">
        <v>1.0635482560501421</v>
      </c>
      <c r="O244" s="98">
        <v>1.01252408477842</v>
      </c>
      <c r="P244" s="98">
        <v>1</v>
      </c>
      <c r="Q244" s="98">
        <v>1</v>
      </c>
      <c r="R244" s="98">
        <v>2.001577287066246</v>
      </c>
      <c r="S244" s="99">
        <v>2.0023566378633149</v>
      </c>
    </row>
    <row r="245" spans="5:19">
      <c r="E245" s="44" t="s">
        <v>2</v>
      </c>
      <c r="F245" s="97">
        <v>1.0444250871080138</v>
      </c>
      <c r="G245" s="98">
        <v>1.0208695652173914</v>
      </c>
      <c r="H245" s="98">
        <v>1.0196179659266909</v>
      </c>
      <c r="I245" s="98">
        <v>1.037037037037037</v>
      </c>
      <c r="J245" s="98">
        <v>1</v>
      </c>
      <c r="K245" s="98">
        <v>2.1470588235294117</v>
      </c>
      <c r="L245" s="99">
        <v>2</v>
      </c>
      <c r="M245" s="97">
        <v>1.0501385041551246</v>
      </c>
      <c r="N245" s="98">
        <v>1.0386548125241593</v>
      </c>
      <c r="O245" s="98">
        <v>1.0595238095238095</v>
      </c>
      <c r="P245" s="98">
        <v>1.0031545741324921</v>
      </c>
      <c r="Q245" s="98">
        <v>1.0098039215686274</v>
      </c>
      <c r="R245" s="98">
        <v>2.1176470588235294</v>
      </c>
      <c r="S245" s="99">
        <v>2</v>
      </c>
    </row>
    <row r="246" spans="5:19">
      <c r="E246" s="44" t="s">
        <v>3</v>
      </c>
      <c r="F246" s="97">
        <v>2.0049686757399008</v>
      </c>
      <c r="G246" s="98">
        <v>2.0012614317250077</v>
      </c>
      <c r="H246" s="98">
        <v>2.0176991150442478</v>
      </c>
      <c r="I246" s="98">
        <v>2.6666666666666665</v>
      </c>
      <c r="J246" s="98"/>
      <c r="K246" s="98">
        <v>2.0105479050688544</v>
      </c>
      <c r="L246" s="99">
        <v>2.0016420361247946</v>
      </c>
      <c r="M246" s="97">
        <v>2.007562536358348</v>
      </c>
      <c r="N246" s="98">
        <v>2.0031446540880502</v>
      </c>
      <c r="O246" s="98">
        <v>2.0625</v>
      </c>
      <c r="P246" s="98">
        <v>2.1875</v>
      </c>
      <c r="Q246" s="98"/>
      <c r="R246" s="98">
        <v>2.0976800976800978</v>
      </c>
      <c r="S246" s="99">
        <v>2.0041536863966769</v>
      </c>
    </row>
    <row r="247" spans="5:19">
      <c r="E247" s="44" t="s">
        <v>4</v>
      </c>
      <c r="F247" s="97">
        <v>1.0114285714285713</v>
      </c>
      <c r="G247" s="98">
        <v>1.0024509803921569</v>
      </c>
      <c r="H247" s="98">
        <v>1.0062500000000001</v>
      </c>
      <c r="I247" s="98">
        <v>1</v>
      </c>
      <c r="J247" s="98"/>
      <c r="K247" s="98"/>
      <c r="L247" s="99"/>
      <c r="M247" s="97">
        <v>1.0157894736842106</v>
      </c>
      <c r="N247" s="98">
        <v>1</v>
      </c>
      <c r="O247" s="98">
        <v>1</v>
      </c>
      <c r="P247" s="98">
        <v>1.005586592178771</v>
      </c>
      <c r="Q247" s="98">
        <v>1</v>
      </c>
      <c r="R247" s="98">
        <v>2</v>
      </c>
      <c r="S247" s="99"/>
    </row>
    <row r="248" spans="5:19">
      <c r="E248" s="44" t="s">
        <v>5</v>
      </c>
      <c r="F248" s="97">
        <v>1.0032258064516129</v>
      </c>
      <c r="G248" s="98">
        <v>1.002116850127011</v>
      </c>
      <c r="H248" s="98">
        <v>1.0071301247771836</v>
      </c>
      <c r="I248" s="98">
        <v>1</v>
      </c>
      <c r="J248" s="98"/>
      <c r="K248" s="98">
        <v>2</v>
      </c>
      <c r="L248" s="99"/>
      <c r="M248" s="97">
        <v>1.0061823802163834</v>
      </c>
      <c r="N248" s="98">
        <v>1.0016992353440952</v>
      </c>
      <c r="O248" s="98">
        <v>1</v>
      </c>
      <c r="P248" s="98">
        <v>1.0054446460980035</v>
      </c>
      <c r="Q248" s="98">
        <v>1.0249999999999999</v>
      </c>
      <c r="R248" s="98">
        <v>2.4</v>
      </c>
      <c r="S248" s="99">
        <v>2</v>
      </c>
    </row>
    <row r="249" spans="5:19">
      <c r="E249" s="45" t="s">
        <v>6</v>
      </c>
      <c r="F249" s="100">
        <v>1.0032010243277849</v>
      </c>
      <c r="G249" s="101">
        <v>1.0006894174422614</v>
      </c>
      <c r="H249" s="101">
        <v>1.0022935779816513</v>
      </c>
      <c r="I249" s="101">
        <v>1</v>
      </c>
      <c r="J249" s="101"/>
      <c r="K249" s="101">
        <v>2</v>
      </c>
      <c r="L249" s="102"/>
      <c r="M249" s="100"/>
      <c r="N249" s="101">
        <v>1.0009633911368014</v>
      </c>
      <c r="O249" s="101">
        <v>1</v>
      </c>
      <c r="P249" s="101">
        <v>1</v>
      </c>
      <c r="Q249" s="101">
        <v>1</v>
      </c>
      <c r="R249" s="101"/>
      <c r="S249" s="102"/>
    </row>
    <row r="250" spans="5:19">
      <c r="E250" s="43" t="s">
        <v>7</v>
      </c>
      <c r="F250" s="79">
        <v>1.1409727947238253</v>
      </c>
      <c r="G250" s="80">
        <v>1.0965704692621312</v>
      </c>
      <c r="H250" s="80">
        <v>1.061514997458058</v>
      </c>
      <c r="I250" s="80">
        <v>1.0115015974440895</v>
      </c>
      <c r="J250" s="80">
        <v>1</v>
      </c>
      <c r="K250" s="80">
        <v>2.0123647604327668</v>
      </c>
      <c r="L250" s="81">
        <v>2.0011350737797957</v>
      </c>
      <c r="M250" s="79">
        <v>1.0858162539983414</v>
      </c>
      <c r="N250" s="80">
        <v>1.0632028983018835</v>
      </c>
      <c r="O250" s="80">
        <v>1.0234144123664468</v>
      </c>
      <c r="P250" s="80">
        <v>1.0075207811056868</v>
      </c>
      <c r="Q250" s="80">
        <v>1.0046783625730995</v>
      </c>
      <c r="R250" s="80">
        <v>2.007434944237918</v>
      </c>
      <c r="S250" s="81">
        <v>2.0019811788013868</v>
      </c>
    </row>
    <row r="251" spans="5:19">
      <c r="E251" s="44" t="s">
        <v>8</v>
      </c>
      <c r="F251" s="82">
        <v>1.0985456369107323</v>
      </c>
      <c r="G251" s="83">
        <v>1.0652199833074998</v>
      </c>
      <c r="H251" s="83">
        <v>1.0188146754468486</v>
      </c>
      <c r="I251" s="83"/>
      <c r="J251" s="83"/>
      <c r="K251" s="83">
        <v>2.0015105740181269</v>
      </c>
      <c r="L251" s="84">
        <v>2.0025510204081631</v>
      </c>
      <c r="M251" s="82">
        <v>1.065802988635234</v>
      </c>
      <c r="N251" s="83">
        <v>1.052685172887059</v>
      </c>
      <c r="O251" s="83">
        <v>1.037143772014089</v>
      </c>
      <c r="P251" s="83">
        <v>1.0010704345964461</v>
      </c>
      <c r="Q251" s="83">
        <v>1</v>
      </c>
      <c r="R251" s="83">
        <v>2.0063694267515926</v>
      </c>
      <c r="S251" s="84">
        <v>2.0014025245441793</v>
      </c>
    </row>
    <row r="252" spans="5:19">
      <c r="E252" s="44" t="s">
        <v>9</v>
      </c>
      <c r="F252" s="82">
        <v>1.0526454330086865</v>
      </c>
      <c r="G252" s="83">
        <v>1.0373540856031129</v>
      </c>
      <c r="H252" s="83">
        <v>1.0555555555555556</v>
      </c>
      <c r="I252" s="83">
        <v>1</v>
      </c>
      <c r="J252" s="83">
        <v>1</v>
      </c>
      <c r="K252" s="83">
        <v>2</v>
      </c>
      <c r="L252" s="84">
        <v>2.0555555555555554</v>
      </c>
      <c r="M252" s="82">
        <v>1.0460262242440461</v>
      </c>
      <c r="N252" s="83">
        <v>1.0319510537049625</v>
      </c>
      <c r="O252" s="83">
        <v>1.0138640429338104</v>
      </c>
      <c r="P252" s="83">
        <v>1.0333333333333334</v>
      </c>
      <c r="Q252" s="83">
        <v>1</v>
      </c>
      <c r="R252" s="83">
        <v>2.25</v>
      </c>
      <c r="S252" s="84">
        <v>2</v>
      </c>
    </row>
    <row r="253" spans="5:19">
      <c r="E253" s="44" t="s">
        <v>10</v>
      </c>
      <c r="F253" s="82">
        <v>2.005037783375315</v>
      </c>
      <c r="G253" s="83">
        <v>1.9866903283052351</v>
      </c>
      <c r="H253" s="83">
        <v>2.2380952380952381</v>
      </c>
      <c r="I253" s="83">
        <v>1.9</v>
      </c>
      <c r="J253" s="83">
        <v>1</v>
      </c>
      <c r="K253" s="83">
        <v>2.0261194029850746</v>
      </c>
      <c r="L253" s="84">
        <v>2.0011961722488039</v>
      </c>
      <c r="M253" s="82">
        <v>2.0033282130056325</v>
      </c>
      <c r="N253" s="83">
        <v>1.9996938150642989</v>
      </c>
      <c r="O253" s="83">
        <v>1.9814814814814814</v>
      </c>
      <c r="P253" s="83">
        <v>1.8461538461538463</v>
      </c>
      <c r="Q253" s="83"/>
      <c r="R253" s="83">
        <v>2.0152714932126696</v>
      </c>
      <c r="S253" s="84">
        <v>2.0031446540880502</v>
      </c>
    </row>
    <row r="254" spans="5:19">
      <c r="E254" s="44" t="s">
        <v>11</v>
      </c>
      <c r="F254" s="82">
        <v>1.0271739130434783</v>
      </c>
      <c r="G254" s="83">
        <v>1.0131004366812226</v>
      </c>
      <c r="H254" s="83">
        <v>1.2</v>
      </c>
      <c r="I254" s="83">
        <v>1.0046728971962617</v>
      </c>
      <c r="J254" s="83">
        <v>1</v>
      </c>
      <c r="K254" s="83">
        <v>2</v>
      </c>
      <c r="L254" s="84"/>
      <c r="M254" s="82">
        <v>1.0057142857142858</v>
      </c>
      <c r="N254" s="83">
        <v>1.0126582278481013</v>
      </c>
      <c r="O254" s="83">
        <v>1.0091324200913243</v>
      </c>
      <c r="P254" s="83">
        <v>1</v>
      </c>
      <c r="Q254" s="83"/>
      <c r="R254" s="83">
        <v>2</v>
      </c>
      <c r="S254" s="84"/>
    </row>
    <row r="255" spans="5:19">
      <c r="E255" s="44" t="s">
        <v>12</v>
      </c>
      <c r="F255" s="82">
        <v>1.0214521452145215</v>
      </c>
      <c r="G255" s="83">
        <v>1.0074750830564785</v>
      </c>
      <c r="H255" s="83">
        <v>1.1304347826086956</v>
      </c>
      <c r="I255" s="83">
        <v>1.0143540669856459</v>
      </c>
      <c r="J255" s="83">
        <v>1.0101010101010102</v>
      </c>
      <c r="K255" s="83">
        <v>2.2222222222222223</v>
      </c>
      <c r="L255" s="84">
        <v>2</v>
      </c>
      <c r="M255" s="82">
        <v>1.0063636363636363</v>
      </c>
      <c r="N255" s="83">
        <v>1.0022758306781976</v>
      </c>
      <c r="O255" s="83">
        <v>1.0072585147962032</v>
      </c>
      <c r="P255" s="83">
        <v>1.0714285714285714</v>
      </c>
      <c r="Q255" s="83">
        <v>1</v>
      </c>
      <c r="R255" s="83">
        <v>6</v>
      </c>
      <c r="S255" s="84">
        <v>2</v>
      </c>
    </row>
    <row r="256" spans="5:19">
      <c r="E256" s="45" t="s">
        <v>13</v>
      </c>
      <c r="F256" s="85">
        <v>1</v>
      </c>
      <c r="G256" s="86">
        <v>1.0016501650165017</v>
      </c>
      <c r="H256" s="86">
        <v>1.1428571428571428</v>
      </c>
      <c r="I256" s="86">
        <v>1.0009746588693957</v>
      </c>
      <c r="J256" s="86">
        <v>1</v>
      </c>
      <c r="K256" s="86">
        <v>2</v>
      </c>
      <c r="L256" s="87"/>
      <c r="M256" s="85">
        <v>1.0039973351099267</v>
      </c>
      <c r="N256" s="86">
        <v>1</v>
      </c>
      <c r="O256" s="86">
        <v>1.0018621973929236</v>
      </c>
      <c r="P256" s="86">
        <v>1.0909090909090908</v>
      </c>
      <c r="Q256" s="86">
        <v>1</v>
      </c>
      <c r="R256" s="86">
        <v>2</v>
      </c>
      <c r="S256" s="87">
        <v>2</v>
      </c>
    </row>
  </sheetData>
  <mergeCells count="10">
    <mergeCell ref="E222:S222"/>
    <mergeCell ref="E240:S240"/>
    <mergeCell ref="E89:S89"/>
    <mergeCell ref="E110:S110"/>
    <mergeCell ref="E131:S131"/>
    <mergeCell ref="E204:S204"/>
    <mergeCell ref="E68:S68"/>
    <mergeCell ref="E23:S23"/>
    <mergeCell ref="E152:S152"/>
    <mergeCell ref="E170:S170"/>
  </mergeCells>
  <conditionalFormatting sqref="C53:C66">
    <cfRule type="colorScale" priority="3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53:S66">
    <cfRule type="colorScale" priority="3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53:V66">
    <cfRule type="colorScale" priority="36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53:Y66">
    <cfRule type="colorScale" priority="3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73:S186">
    <cfRule type="colorScale" priority="3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31:S44">
    <cfRule type="colorScale" priority="3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07:S220">
    <cfRule type="colorScale" priority="31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74:S87">
    <cfRule type="colorScale" priority="30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74:C87">
    <cfRule type="colorScale" priority="2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155:V168">
    <cfRule type="colorScale" priority="2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155:Y168">
    <cfRule type="colorScale" priority="27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55:S168">
    <cfRule type="colorScale" priority="21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25:S238">
    <cfRule type="colorScale" priority="1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43:S256">
    <cfRule type="colorScale" priority="1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89:S202">
    <cfRule type="colorScale" priority="1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50:S50">
    <cfRule type="colorScale" priority="4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71:S71">
    <cfRule type="colorScale" priority="10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95:S108">
    <cfRule type="colorScale" priority="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95:C108">
    <cfRule type="colorScale" priority="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92:S92">
    <cfRule type="colorScale" priority="7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16:S129">
    <cfRule type="colorScale" priority="6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116:C129">
    <cfRule type="colorScale" priority="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13:S113">
    <cfRule type="colorScale" priority="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37:S150">
    <cfRule type="colorScale" priority="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137:C150">
    <cfRule type="colorScale" priority="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34:S134">
    <cfRule type="colorScale" priority="1">
      <colorScale>
        <cfvo type="min"/>
        <cfvo type="percentile" val="50"/>
        <cfvo type="max"/>
        <color rgb="FFFF0000"/>
        <color theme="0"/>
        <color rgb="FF00B0F0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2020-06-04T10:40:44Z</dcterms:created>
  <dcterms:modified xsi:type="dcterms:W3CDTF">2020-07-25T22:52:29Z</dcterms:modified>
</cp:coreProperties>
</file>